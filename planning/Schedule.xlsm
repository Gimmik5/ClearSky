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Gideon Bergbaum\Documents\Personal Projects\NightSky_Predictor\"/>
    </mc:Choice>
  </mc:AlternateContent>
  <xr:revisionPtr revIDLastSave="0" documentId="13_ncr:1_{83FDC0DD-93AD-4ED8-AA89-217BCAF30E10}" xr6:coauthVersionLast="47" xr6:coauthVersionMax="47" xr10:uidLastSave="{00000000-0000-0000-0000-000000000000}"/>
  <bookViews>
    <workbookView xWindow="-25320" yWindow="-990" windowWidth="25440" windowHeight="15270" activeTab="1" xr2:uid="{488B54AB-D27D-4B57-A709-776924179590}"/>
  </bookViews>
  <sheets>
    <sheet name="Components" sheetId="1" r:id="rId1"/>
    <sheet name="Schedul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9" i="1" l="1"/>
  <c r="G21" i="1"/>
  <c r="G10" i="1"/>
</calcChain>
</file>

<file path=xl/sharedStrings.xml><?xml version="1.0" encoding="utf-8"?>
<sst xmlns="http://schemas.openxmlformats.org/spreadsheetml/2006/main" count="456" uniqueCount="382">
  <si>
    <t>Item</t>
  </si>
  <si>
    <t>Part Number/Spec</t>
  </si>
  <si>
    <t>Quantity</t>
  </si>
  <si>
    <t>UK Supplier</t>
  </si>
  <si>
    <t>Unit Price</t>
  </si>
  <si>
    <t>Total</t>
  </si>
  <si>
    <t>Notes</t>
  </si>
  <si>
    <t>ESP32-CAM Board</t>
  </si>
  <si>
    <t>ESP32-CAM MB (with programmer)</t>
  </si>
  <si>
    <t>Amazon UK / AliExpress</t>
  </si>
  <si>
    <t>Includes OV2640 camera, choose bundle with USB programmer</t>
  </si>
  <si>
    <t>Light Sensor</t>
  </si>
  <si>
    <t>Adafruit TSL2591 High Dynamic Range Digital Light Sensor</t>
  </si>
  <si>
    <t>Pimoroni / The Pi Hut</t>
  </si>
  <si>
    <t>I2C interface, 188M:1 dynamic range</t>
  </si>
  <si>
    <t>Environmental Sensor</t>
  </si>
  <si>
    <t>BME280 Breakout Board</t>
  </si>
  <si>
    <t>Pimoroni / Amazon UK</t>
  </si>
  <si>
    <t>Temp, humidity, pressure - I2C</t>
  </si>
  <si>
    <t>MicroSD Card</t>
  </si>
  <si>
    <t>SanDisk High Endurance 64GB</t>
  </si>
  <si>
    <t>Amazon UK</t>
  </si>
  <si>
    <t>Rated for continuous recording</t>
  </si>
  <si>
    <t>Real-Time Clock</t>
  </si>
  <si>
    <t>DS3231 RTC Module</t>
  </si>
  <si>
    <t>Amazon UK / eBay</t>
  </si>
  <si>
    <t>Battery backup for accurate time</t>
  </si>
  <si>
    <t>Core Electronics</t>
  </si>
  <si>
    <t>Solar Panel</t>
  </si>
  <si>
    <t>6V 6W Polycrystalline (166x135mm)</t>
  </si>
  <si>
    <t>Weather resistant, pre-wired</t>
  </si>
  <si>
    <t>18650 Batteries</t>
  </si>
  <si>
    <t>Protected 18650 Li-ion 3.7V 3000mAh</t>
  </si>
  <si>
    <t>Amazon UK / Fogstar</t>
  </si>
  <si>
    <t>Button top, protected cells</t>
  </si>
  <si>
    <t>Battery Holder</t>
  </si>
  <si>
    <t>2x18650 Holder with leads</t>
  </si>
  <si>
    <t>Series configuration (7.4V)</t>
  </si>
  <si>
    <t>Charge Controller</t>
  </si>
  <si>
    <t>TP4056 with Protection (Type-C)</t>
  </si>
  <si>
    <t>Spare for redundancy, protection circuits</t>
  </si>
  <si>
    <t>Buck Converter</t>
  </si>
  <si>
    <t>LM2596 DC-DC Step Down (adjustable)</t>
  </si>
  <si>
    <t>7.4V → 5V for ESP32</t>
  </si>
  <si>
    <t>Schottky Diode</t>
  </si>
  <si>
    <t>1N5819 (3A, 40V)</t>
  </si>
  <si>
    <t>eBay / CPC Farnell</t>
  </si>
  <si>
    <t>Reverse polarity protection</t>
  </si>
  <si>
    <t>Capacitors</t>
  </si>
  <si>
    <t>1000µF 16V Electrolytic</t>
  </si>
  <si>
    <t>CPC Farnell / eBay</t>
  </si>
  <si>
    <t>Power smoothing</t>
  </si>
  <si>
    <t>Power System</t>
  </si>
  <si>
    <t>Enclosure &amp; Mounting</t>
  </si>
  <si>
    <t>Jumper Wires</t>
  </si>
  <si>
    <t>Dupont jumper wire kit (M-M, M-F, F-F)</t>
  </si>
  <si>
    <t>1 kit</t>
  </si>
  <si>
    <t>Assorted lengths</t>
  </si>
  <si>
    <t>22 AWG Wire</t>
  </si>
  <si>
    <t>Stranded copper wire (red/black)</t>
  </si>
  <si>
    <t>5m</t>
  </si>
  <si>
    <t>Screwfix / Amazon</t>
  </si>
  <si>
    <t>£0.60/m</t>
  </si>
  <si>
    <t>For power connections</t>
  </si>
  <si>
    <t>Heat Shrink Tubing</t>
  </si>
  <si>
    <t>Assorted sizes kit</t>
  </si>
  <si>
    <t>Protect connections</t>
  </si>
  <si>
    <t>JST Connectors</t>
  </si>
  <si>
    <t>JST-XH 2.54mm 2-pin connectors</t>
  </si>
  <si>
    <t>5 sets</t>
  </si>
  <si>
    <t>Modular sensor connections</t>
  </si>
  <si>
    <t>Weatherproof Wire</t>
  </si>
  <si>
    <t>2-core outdoor cable (solar to enclosure)</t>
  </si>
  <si>
    <t>3m</t>
  </si>
  <si>
    <t>Screwfix</t>
  </si>
  <si>
    <t>£1.20/m</t>
  </si>
  <si>
    <t>UV resistant</t>
  </si>
  <si>
    <t>Tools</t>
  </si>
  <si>
    <t>Purpose</t>
  </si>
  <si>
    <t>Approx Cost</t>
  </si>
  <si>
    <t>Soldering Iron Kit</t>
  </si>
  <si>
    <t>Solder connections</t>
  </si>
  <si>
    <t>£18-25</t>
  </si>
  <si>
    <t>If you don't have one</t>
  </si>
  <si>
    <t>Multimeter</t>
  </si>
  <si>
    <t>Voltage/continuity testing</t>
  </si>
  <si>
    <t>Amazon UK / Screwfix</t>
  </si>
  <si>
    <t>£12-20</t>
  </si>
  <si>
    <t>Essential for debugging</t>
  </si>
  <si>
    <t>Drill &amp; Bits</t>
  </si>
  <si>
    <t>Mounting holes</t>
  </si>
  <si>
    <t>Already owned?</t>
  </si>
  <si>
    <t>-</t>
  </si>
  <si>
    <t>Standard DIY tool</t>
  </si>
  <si>
    <t>Hot Glue Gun</t>
  </si>
  <si>
    <t>Secure components</t>
  </si>
  <si>
    <t>£8-12</t>
  </si>
  <si>
    <t>Optional but useful</t>
  </si>
  <si>
    <t>Wire Strippers</t>
  </si>
  <si>
    <t>Prepare wires</t>
  </si>
  <si>
    <t>£6-10</t>
  </si>
  <si>
    <t>If you don't have</t>
  </si>
  <si>
    <t>N/A</t>
  </si>
  <si>
    <t>Home Server Components</t>
  </si>
  <si>
    <t>Option</t>
  </si>
  <si>
    <t>Cost</t>
  </si>
  <si>
    <t>Option A: Use Existing PC</t>
  </si>
  <si>
    <t>Run server software on desktop/laptop</t>
  </si>
  <si>
    <t>Most cost-effective</t>
  </si>
  <si>
    <t>Option B: Raspberry Pi 4 (4GB)</t>
  </si>
  <si>
    <t>Dedicated home server</t>
  </si>
  <si>
    <r>
      <t xml:space="preserve">Plus £8 power supply, £10 case, £8 SD card = </t>
    </r>
    <r>
      <rPr>
        <b/>
        <sz val="11"/>
        <color theme="1"/>
        <rFont val="Aptos Narrow"/>
        <family val="2"/>
        <scheme val="minor"/>
      </rPr>
      <t>£80 total</t>
    </r>
  </si>
  <si>
    <t>Option C: Raspberry Pi Zero 2 W</t>
  </si>
  <si>
    <t>Minimal server (sufficient for this project)</t>
  </si>
  <si>
    <t>Pimoroni</t>
  </si>
  <si>
    <r>
      <t xml:space="preserve">Plus £7 power supply, £8 SD card = </t>
    </r>
    <r>
      <rPr>
        <b/>
        <sz val="11"/>
        <color theme="1"/>
        <rFont val="Aptos Narrow"/>
        <family val="2"/>
        <scheme val="minor"/>
      </rPr>
      <t>£28.50 total</t>
    </r>
  </si>
  <si>
    <t>Purchase Schedule:</t>
  </si>
  <si>
    <t>Phase 1 - Prototype on Desk (Order First):</t>
  </si>
  <si>
    <t>ESP32-CAM with programmer (£10)</t>
  </si>
  <si>
    <t>TSL2591 light sensor (£7.50)</t>
  </si>
  <si>
    <t>BME280 environmental sensor (£9.90)</t>
  </si>
  <si>
    <t>Jumper wires (£6)</t>
  </si>
  <si>
    <t>MicroSD card (£11)</t>
  </si>
  <si>
    <t>Phase 1 Total: £44.40</t>
  </si>
  <si>
    <t>Phase 2 - Add Power System:</t>
  </si>
  <si>
    <t>Solar panel (£13)</t>
  </si>
  <si>
    <t>18650 batteries x2 (£14)</t>
  </si>
  <si>
    <t>Battery holder (£4)</t>
  </si>
  <si>
    <t>Charge controllers (£4)</t>
  </si>
  <si>
    <t>Buck converter (£3.50)</t>
  </si>
  <si>
    <t>Phase 2 Total: £38.50</t>
  </si>
  <si>
    <t>Phase 3 - Weatherproof &amp; Deploy:</t>
  </si>
  <si>
    <t>Enclosure (£9)</t>
  </si>
  <si>
    <t>Acrylic window (£5)</t>
  </si>
  <si>
    <t>Cable glands (£5)</t>
  </si>
  <si>
    <t>Mounting bracket (£4)</t>
  </si>
  <si>
    <t>Bolts/fixings (£5)</t>
  </si>
  <si>
    <t>Silicone sealant (£4)</t>
  </si>
  <si>
    <t>Desiccant (£4)</t>
  </si>
  <si>
    <t>Weatherproof wire (£3.60)</t>
  </si>
  <si>
    <t>Phase 3 Total: £39.60</t>
  </si>
  <si>
    <t>Overview Timeline: 16 Weeks (4 Months)</t>
  </si>
  <si>
    <r>
      <t>Time Commitment:</t>
    </r>
    <r>
      <rPr>
        <sz val="11"/>
        <color theme="1"/>
        <rFont val="Aptos Narrow"/>
        <family val="2"/>
        <scheme val="minor"/>
      </rPr>
      <t xml:space="preserve"> 4-6 hours per week average</t>
    </r>
  </si>
  <si>
    <r>
      <t>Flexibility:</t>
    </r>
    <r>
      <rPr>
        <sz val="11"/>
        <color theme="1"/>
        <rFont val="Aptos Narrow"/>
        <family val="2"/>
        <scheme val="minor"/>
      </rPr>
      <t xml:space="preserve"> Schedule allows for setbacks and iteration</t>
    </r>
  </si>
  <si>
    <r>
      <t>Milestone Reviews:</t>
    </r>
    <r>
      <rPr>
        <sz val="11"/>
        <color theme="1"/>
        <rFont val="Aptos Narrow"/>
        <family val="2"/>
        <scheme val="minor"/>
      </rPr>
      <t xml:space="preserve"> End of weeks 4, 8, 12, 16</t>
    </r>
  </si>
  <si>
    <t>MONTH 1: PROOF OF CONCEPT</t>
  </si>
  <si>
    <t>Week 1: Setup &amp; Basic Sensors</t>
  </si>
  <si>
    <r>
      <t>Goal:</t>
    </r>
    <r>
      <rPr>
        <sz val="11"/>
        <color theme="1"/>
        <rFont val="Aptos Narrow"/>
        <family val="2"/>
        <scheme val="minor"/>
      </rPr>
      <t xml:space="preserve"> Get ESP32 reading sensors on your desk</t>
    </r>
  </si>
  <si>
    <t>Tasks:</t>
  </si>
  <si>
    <t>Order Phase 1 components (delivery 2-3 days)</t>
  </si>
  <si>
    <t>Install Arduino IDE with ESP32 board support</t>
  </si>
  <si>
    <t>Set up GitHub repository for project</t>
  </si>
  <si>
    <t>Flash "Hello World" to ESP32-CAM</t>
  </si>
  <si>
    <t>Test camera capture and save to SD card</t>
  </si>
  <si>
    <t>Wire TSL2591 to ESP32 (I2C), verify readings in Serial Monitor</t>
  </si>
  <si>
    <t>Document pin connections with photos</t>
  </si>
  <si>
    <t>Deliverables:</t>
  </si>
  <si>
    <t>ESP32 taking photos and saving to SD</t>
  </si>
  <si>
    <t>Light sensor reading lux values</t>
  </si>
  <si>
    <t>GitHub repo with first commit</t>
  </si>
  <si>
    <r>
      <t>Troubleshooting Time:</t>
    </r>
    <r>
      <rPr>
        <sz val="11"/>
        <color theme="1"/>
        <rFont val="Aptos Narrow"/>
        <family val="2"/>
        <scheme val="minor"/>
      </rPr>
      <t xml:space="preserve"> 2 hours budgeted</t>
    </r>
  </si>
  <si>
    <t>Week 2: Environmental Sensors &amp; Data Logging</t>
  </si>
  <si>
    <r>
      <t>Goal:</t>
    </r>
    <r>
      <rPr>
        <sz val="11"/>
        <color theme="1"/>
        <rFont val="Aptos Narrow"/>
        <family val="2"/>
        <scheme val="minor"/>
      </rPr>
      <t xml:space="preserve"> All sensors working, data logging to SD card</t>
    </r>
  </si>
  <si>
    <t>Wire BME280 to ESP32 (share I2C bus with TSL2591)</t>
  </si>
  <si>
    <t>Test I2C address conflicts (use I2C scanner sketch)</t>
  </si>
  <si>
    <t>Create data structure for sensor readings</t>
  </si>
  <si>
    <t>Implement CSV logging to SD card with timestamps</t>
  </si>
  <si>
    <t>Add RTC module (DS3231) for accurate time</t>
  </si>
  <si>
    <t>Run 24-hour test - analyze log file for gaps/errors</t>
  </si>
  <si>
    <t>Calculate expected data volume (plan SD card size)</t>
  </si>
  <si>
    <t>All three sensors logging every 5 minutes</t>
  </si>
  <si>
    <t>CSV file with 24 hours of clean data</t>
  </si>
  <si>
    <t>RTC keeping time accurately</t>
  </si>
  <si>
    <r>
      <t>Success Metric:</t>
    </r>
    <r>
      <rPr>
        <sz val="11"/>
        <color theme="1"/>
        <rFont val="Aptos Narrow"/>
        <family val="2"/>
        <scheme val="minor"/>
      </rPr>
      <t xml:space="preserve"> &lt;1% data loss over 24 hours</t>
    </r>
  </si>
  <si>
    <r>
      <t>Goal:</t>
    </r>
    <r>
      <rPr>
        <sz val="11"/>
        <color theme="1"/>
        <rFont val="Aptos Narrow"/>
        <family val="2"/>
        <scheme val="minor"/>
      </rPr>
      <t xml:space="preserve"> Send data from ESP32 to your PC</t>
    </r>
  </si>
  <si>
    <t>Install Mosquitto MQTT broker on PC/laptop</t>
  </si>
  <si>
    <t>Configure ESP32 WiFi connection (hardcode SSID/password for now)</t>
  </si>
  <si>
    <t>Implement MQTT publishing from ESP32</t>
  </si>
  <si>
    <t>Create Python script on PC to subscribe and print messages</t>
  </si>
  <si>
    <t>Test connectivity: ESP32 → MQTT → Python subscriber</t>
  </si>
  <si>
    <t>Add JSON formatting for sensor data messages</t>
  </si>
  <si>
    <t>Handle WiFi disconnection/reconnection gracefully</t>
  </si>
  <si>
    <t>Week 3: WiFi &amp; MQTT Communication</t>
  </si>
  <si>
    <t>ESP32 sending sensor data via MQTT every 5 min</t>
  </si>
  <si>
    <t>Python script receiving and displaying data</t>
  </si>
  <si>
    <t>WiFi reliability tested (try disconnecting router, observe recovery)</t>
  </si>
  <si>
    <t>Week 4: Power System Prototype</t>
  </si>
  <si>
    <r>
      <t>Goal:</t>
    </r>
    <r>
      <rPr>
        <sz val="11"/>
        <color theme="1"/>
        <rFont val="Aptos Narrow"/>
        <family val="2"/>
        <scheme val="minor"/>
      </rPr>
      <t xml:space="preserve"> Order power components, basic power management</t>
    </r>
  </si>
  <si>
    <t>Order Phase 2 components (solar, batteries, charge controller)</t>
  </si>
  <si>
    <t>Research ESP32 deep sleep modes</t>
  </si>
  <si>
    <t>Implement basic sleep/wake cycle (sleep 4 min, wake for 1 min)</t>
  </si>
  <si>
    <t>Measure power consumption with multimeter (active vs sleep)</t>
  </si>
  <si>
    <t>Calculate expected battery life from measurements</t>
  </si>
  <si>
    <t>Test SD card reliability after power loss (sudden disconnect)</t>
  </si>
  <si>
    <r>
      <t>Milestone Review:</t>
    </r>
    <r>
      <rPr>
        <sz val="11"/>
        <color theme="1"/>
        <rFont val="Aptos Narrow"/>
        <family val="2"/>
        <scheme val="minor"/>
      </rPr>
      <t xml:space="preserve"> Demonstrate working prototype to yourself</t>
    </r>
  </si>
  <si>
    <t>Power consumption documented</t>
  </si>
  <si>
    <t>Sleep mode working (reducing power 80%+)</t>
  </si>
  <si>
    <t>Battery life calculations in spreadsheet</t>
  </si>
  <si>
    <t>MONTH 2: POWER &amp; DEPLOYMENT</t>
  </si>
  <si>
    <t>Week 5: Solar Charging Integration</t>
  </si>
  <si>
    <r>
      <t>Goal:</t>
    </r>
    <r>
      <rPr>
        <sz val="11"/>
        <color theme="1"/>
        <rFont val="Aptos Narrow"/>
        <family val="2"/>
        <scheme val="minor"/>
      </rPr>
      <t xml:space="preserve"> Build complete power system</t>
    </r>
  </si>
  <si>
    <t>Assemble solar panel → TP4056 → battery → ESP32 circuit</t>
  </si>
  <si>
    <t>Test solar charging (place in sunlight, monitor battery voltage)</t>
  </si>
  <si>
    <t>Add buck converter for stable 5V supply to ESP32</t>
  </si>
  <si>
    <t>Implement battery voltage monitoring (analog pin on ESP32)</t>
  </si>
  <si>
    <t>Create low-battery protection (shut down if &lt;6.5V)</t>
  </si>
  <si>
    <t>Test charge/discharge cycle over 48 hours</t>
  </si>
  <si>
    <t>Document power circuit with wiring diagram</t>
  </si>
  <si>
    <t>Fully functional solar power system</t>
  </si>
  <si>
    <t>Battery voltage reported in MQTT messages</t>
  </si>
  <si>
    <t>System running 48h on battery + solar</t>
  </si>
  <si>
    <r>
      <t>Success Metric:</t>
    </r>
    <r>
      <rPr>
        <sz val="11"/>
        <color theme="1"/>
        <rFont val="Aptos Narrow"/>
        <family val="2"/>
        <scheme val="minor"/>
      </rPr>
      <t xml:space="preserve"> Battery maintains &gt;7.0V during sunny day</t>
    </r>
  </si>
  <si>
    <t>Week 6: Weatherproofing &amp; Enclosure Build</t>
  </si>
  <si>
    <r>
      <t>Goal:</t>
    </r>
    <r>
      <rPr>
        <sz val="11"/>
        <color theme="1"/>
        <rFont val="Aptos Narrow"/>
        <family val="2"/>
        <scheme val="minor"/>
      </rPr>
      <t xml:space="preserve"> Prepare for outdoor deployment</t>
    </r>
  </si>
  <si>
    <t>Order Phase 3 components (enclosure, mounting)</t>
  </si>
  <si>
    <t>Drill holes in enclosure for cable glands</t>
  </si>
  <si>
    <t>Cut and fit acrylic window for camera</t>
  </si>
  <si>
    <t>Seal camera window with silicone (allow 24h cure)</t>
  </si>
  <si>
    <t>Mount all electronics inside enclosure</t>
  </si>
  <si>
    <t>Install cable glands for solar and sensor wiring</t>
  </si>
  <si>
    <t>Add desiccant packets inside</t>
  </si>
  <si>
    <t>Water test: spray with hose for 5 minutes, check for leaks</t>
  </si>
  <si>
    <t>Waterproof enclosure (IP65 verified)</t>
  </si>
  <si>
    <t>All components securely mounted</t>
  </si>
  <si>
    <t>Cable management completed</t>
  </si>
  <si>
    <r>
      <t>Success Metric:</t>
    </r>
    <r>
      <rPr>
        <sz val="11"/>
        <color theme="1"/>
        <rFont val="Aptos Narrow"/>
        <family val="2"/>
        <scheme val="minor"/>
      </rPr>
      <t xml:space="preserve"> No water ingress after hose test</t>
    </r>
  </si>
  <si>
    <t>Week 7: Outdoor Installation &amp; Testing</t>
  </si>
  <si>
    <r>
      <t>Goal:</t>
    </r>
    <r>
      <rPr>
        <sz val="11"/>
        <color theme="1"/>
        <rFont val="Aptos Narrow"/>
        <family val="2"/>
        <scheme val="minor"/>
      </rPr>
      <t xml:space="preserve"> Deploy system outdoors, verify operation</t>
    </r>
  </si>
  <si>
    <t>Survey mounting location (check WiFi signal strength)</t>
  </si>
  <si>
    <t>Install mounting bracket on wall/fence/roof</t>
  </si>
  <si>
    <t>Mount enclosure with clear sky view</t>
  </si>
  <si>
    <t>Position solar panel for south-facing (UK) optimal sun</t>
  </si>
  <si>
    <t>Route cables neatly, secure against wind</t>
  </si>
  <si>
    <t>Configure ESP32 for NTP time sync (no manual RTC setting needed)</t>
  </si>
  <si>
    <t>Monitor system remotely for 48 hours</t>
  </si>
  <si>
    <t>Check for condensation inside enclosure each morning</t>
  </si>
  <si>
    <t>System installed and running outdoors</t>
  </si>
  <si>
    <t>WiFi connection stable</t>
  </si>
  <si>
    <t>No condensation issues</t>
  </si>
  <si>
    <r>
      <t>Goal:</t>
    </r>
    <r>
      <rPr>
        <sz val="11"/>
        <color theme="1"/>
        <rFont val="Aptos Narrow"/>
        <family val="2"/>
        <scheme val="minor"/>
      </rPr>
      <t xml:space="preserve"> Set up proper database and API</t>
    </r>
  </si>
  <si>
    <t>Install InfluxDB on home PC (or Raspberry Pi)</t>
  </si>
  <si>
    <t>Create Python service to subscribe to MQTT and write to InfluxDB</t>
  </si>
  <si>
    <t>Set up data retention policy (1 year for sensor data, 30 days for images)</t>
  </si>
  <si>
    <t>Configure automatic backup (InfluxDB → external drive)</t>
  </si>
  <si>
    <t>Create simple REST API using Flask</t>
  </si>
  <si>
    <t>Test API endpoints: GET /current, GET /history</t>
  </si>
  <si>
    <r>
      <t>Milestone Review:</t>
    </r>
    <r>
      <rPr>
        <sz val="11"/>
        <color theme="1"/>
        <rFont val="Aptos Narrow"/>
        <family val="2"/>
        <scheme val="minor"/>
      </rPr>
      <t xml:space="preserve"> One week of outdoor data collected</t>
    </r>
  </si>
  <si>
    <t>Week 8: Data Pipeline &amp; Storage</t>
  </si>
  <si>
    <t>InfluxDB storing all sensor data</t>
  </si>
  <si>
    <t>API serving data</t>
  </si>
  <si>
    <t>7 days of continuous outdoor data</t>
  </si>
  <si>
    <t>MONTH 3: INTELLIGENCE &amp; ANALYSIS</t>
  </si>
  <si>
    <t>Week 9: Web Dashboard Development</t>
  </si>
  <si>
    <r>
      <t>Goal:</t>
    </r>
    <r>
      <rPr>
        <sz val="11"/>
        <color theme="1"/>
        <rFont val="Aptos Narrow"/>
        <family val="2"/>
        <scheme val="minor"/>
      </rPr>
      <t xml:space="preserve"> Visualize your data</t>
    </r>
  </si>
  <si>
    <t>Choose dashboard framework (Grafana or custom React app)</t>
  </si>
  <si>
    <t>Create real-time data visualization (line charts for temp, brightness)</t>
  </si>
  <si>
    <t>Add "current conditions" summary panel</t>
  </si>
  <si>
    <t>Display latest captured image</t>
  </si>
  <si>
    <t>Show system health metrics (battery, WiFi, uptime)</t>
  </si>
  <si>
    <t>Make dashboard mobile-responsive</t>
  </si>
  <si>
    <t>Set up port forwarding or Tailscale for external access</t>
  </si>
  <si>
    <t>Working web dashboard accessible on local network</t>
  </si>
  <si>
    <t>Real-time data updates (30 second refresh)</t>
  </si>
  <si>
    <t>Mobile-friendly interface</t>
  </si>
  <si>
    <t>Week 10: Image Analysis - Cloud Detection</t>
  </si>
  <si>
    <r>
      <t>Goal:</t>
    </r>
    <r>
      <rPr>
        <sz val="11"/>
        <color theme="1"/>
        <rFont val="Aptos Narrow"/>
        <family val="2"/>
        <scheme val="minor"/>
      </rPr>
      <t xml:space="preserve"> Teach system to "see" clouds</t>
    </r>
  </si>
  <si>
    <t>Collect 50+ night sky images (manually label: clear/partial/overcast)</t>
  </si>
  <si>
    <t>Write Python script for image processing with OpenCV</t>
  </si>
  <si>
    <t>Implement cloud detection algorithm:</t>
  </si>
  <si>
    <t>Convert to grayscale</t>
  </si>
  <si>
    <t>Calculate brightness variance</t>
  </si>
  <si>
    <t>Classify based on thresholds</t>
  </si>
  <si>
    <t>Test algorithm on labeled images, calculate accuracy</t>
  </si>
  <si>
    <t>Tune thresholds to improve accuracy</t>
  </si>
  <si>
    <t>Integrate into data pipeline (analyze images as they arrive)</t>
  </si>
  <si>
    <t>Add cloud coverage % to dashboard</t>
  </si>
  <si>
    <t>Cloud detection algorithm with &gt;80% accuracy</t>
  </si>
  <si>
    <t>Automated analysis running on all new images</t>
  </si>
  <si>
    <t>Historical cloud coverage data</t>
  </si>
  <si>
    <t>Week 11: Feature Engineering for ML</t>
  </si>
  <si>
    <r>
      <t>Goal:</t>
    </r>
    <r>
      <rPr>
        <sz val="11"/>
        <color theme="1"/>
        <rFont val="Aptos Narrow"/>
        <family val="2"/>
        <scheme val="minor"/>
      </rPr>
      <t xml:space="preserve"> Prepare data for machine learning</t>
    </r>
  </si>
  <si>
    <t>Export 4+ weeks of sensor data from InfluxDB</t>
  </si>
  <si>
    <t>Create Python notebook for exploratory data analysis</t>
  </si>
  <si>
    <t>Visualize patterns (brightness vs time of day, cloud vs humidity)</t>
  </si>
  <si>
    <t>Engineer features:</t>
  </si>
  <si>
    <t>Rolling averages (1h, 3h)</t>
  </si>
  <si>
    <t>Time-based features (hour, day of week, moon phase)</t>
  </si>
  <si>
    <t>Weather trends (pressure change rate)</t>
  </si>
  <si>
    <t>Historical patterns (typical brightness for this hour)</t>
  </si>
  <si>
    <t>Create "ground truth" labels (manually rate 30 nights: good/bad for stargazing)</t>
  </si>
  <si>
    <t>Save processed dataset for model training</t>
  </si>
  <si>
    <t>Feature engineering pipeline (Python script)</t>
  </si>
  <si>
    <t>Labeled dataset with 30+ nights</t>
  </si>
  <si>
    <t>Data exploration insights documented</t>
  </si>
  <si>
    <r>
      <t>Success Metric:</t>
    </r>
    <r>
      <rPr>
        <sz val="11"/>
        <color theme="1"/>
        <rFont val="Aptos Narrow"/>
        <family val="2"/>
        <scheme val="minor"/>
      </rPr>
      <t xml:space="preserve"> Features calculated for all historical data</t>
    </r>
  </si>
  <si>
    <t>Week 12: Machine Learning Model Training</t>
  </si>
  <si>
    <r>
      <t>Goal:</t>
    </r>
    <r>
      <rPr>
        <sz val="11"/>
        <color theme="1"/>
        <rFont val="Aptos Narrow"/>
        <family val="2"/>
        <scheme val="minor"/>
      </rPr>
      <t xml:space="preserve"> Build prediction model</t>
    </r>
  </si>
  <si>
    <t>Split data: 70% train, 15% validation, 15% test</t>
  </si>
  <si>
    <t>Train baseline model (Random Forest classifier)</t>
  </si>
  <si>
    <t>Evaluate performance:</t>
  </si>
  <si>
    <t>Accuracy</t>
  </si>
  <si>
    <t>Precision/recall for "good viewing" class</t>
  </si>
  <si>
    <t>Confusion matrix</t>
  </si>
  <si>
    <t>Try alternative models (XGBoost, Logistic Regression)</t>
  </si>
  <si>
    <t>Feature importance analysis (which sensors matter most?)</t>
  </si>
  <si>
    <t>Save best model as pickle file</t>
  </si>
  <si>
    <r>
      <t>Milestone Review:</t>
    </r>
    <r>
      <rPr>
        <sz val="11"/>
        <color theme="1"/>
        <rFont val="Aptos Narrow"/>
        <family val="2"/>
        <scheme val="minor"/>
      </rPr>
      <t xml:space="preserve"> First ML model deployed</t>
    </r>
  </si>
  <si>
    <t>Trained model with ≥70% accuracy</t>
  </si>
  <si>
    <t>Model performance report</t>
  </si>
  <si>
    <t>Feature importance chart</t>
  </si>
  <si>
    <t>MONTH 4: POLISH &amp; PRODUCTION</t>
  </si>
  <si>
    <t>Week 13: Prediction Service Deployment</t>
  </si>
  <si>
    <r>
      <t>Goal:</t>
    </r>
    <r>
      <rPr>
        <sz val="11"/>
        <color theme="1"/>
        <rFont val="Aptos Narrow"/>
        <family val="2"/>
        <scheme val="minor"/>
      </rPr>
      <t xml:space="preserve"> Integrate ML model into live system</t>
    </r>
  </si>
  <si>
    <t>Create prediction API endpoint (POST /predict)</t>
  </si>
  <si>
    <t>Load trained model in Python service</t>
  </si>
  <si>
    <t>Schedule hourly predictions (cron job or service loop)</t>
  </si>
  <si>
    <t>Store predictions in InfluxDB</t>
  </si>
  <si>
    <t>Add predictions to dashboard (forecast for next 6 hours)</t>
  </si>
  <si>
    <t>Compare predictions vs actual over 7 days</t>
  </si>
  <si>
    <t>Log prediction accuracy for monitoring</t>
  </si>
  <si>
    <t>Live prediction service running 24/7</t>
  </si>
  <si>
    <t>Dashboard showing forecasts</t>
  </si>
  <si>
    <t>Prediction accuracy being tracked</t>
  </si>
  <si>
    <t>Week 14: Alerting &amp; Notifications</t>
  </si>
  <si>
    <r>
      <t>Goal:</t>
    </r>
    <r>
      <rPr>
        <sz val="11"/>
        <color theme="1"/>
        <rFont val="Aptos Narrow"/>
        <family val="2"/>
        <scheme val="minor"/>
      </rPr>
      <t xml:space="preserve"> Get notified when conditions are excellent</t>
    </r>
  </si>
  <si>
    <t>Define alert criteria (e.g., predicted score ≥8/10 for ≥2 hours)</t>
  </si>
  <si>
    <t>Set up notification service:</t>
  </si>
  <si>
    <t>Option A: Email via SMTP</t>
  </si>
  <si>
    <t>Option B: Pushover/Pushbullet mobile app</t>
  </si>
  <si>
    <t>Option C: Telegram bot</t>
  </si>
  <si>
    <t>Implement alert generation logic</t>
  </si>
  <si>
    <t>Add "quiet hours" configuration (don't alert after midnight)</t>
  </si>
  <si>
    <t>Test alert delivery (manually trigger test alert)</t>
  </si>
  <si>
    <t>Add alert history to dashboard</t>
  </si>
  <si>
    <t>Configure alert preferences via web UI</t>
  </si>
  <si>
    <t>Working alert system</t>
  </si>
  <si>
    <t>Mobile notifications for excellent conditions</t>
  </si>
  <si>
    <t>User-configurable alert settings</t>
  </si>
  <si>
    <t>Week 15: Advanced Features &amp; Optimization</t>
  </si>
  <si>
    <r>
      <t>Goal:</t>
    </r>
    <r>
      <rPr>
        <sz val="11"/>
        <color theme="1"/>
        <rFont val="Aptos Narrow"/>
        <family val="2"/>
        <scheme val="minor"/>
      </rPr>
      <t xml:space="preserve"> Add nice-to-have features</t>
    </r>
  </si>
  <si>
    <t>Implement automatic timelapse generation (combine night's images → video)</t>
  </si>
  <si>
    <t>Add moon phase calculation and display</t>
  </si>
  <si>
    <t>Integrate weather forecast API (compare ML predictions vs forecast)</t>
  </si>
  <si>
    <t>Optimize power consumption (fine-tune sleep intervals)</t>
  </si>
  <si>
    <t>Add OTA (Over-The-Air) firmware update capability</t>
  </si>
  <si>
    <t>Create system diagnostic page (logs, error history)</t>
  </si>
  <si>
    <t>Write user manual/README documentation</t>
  </si>
  <si>
    <t>Timelapse videos generated nightly</t>
  </si>
  <si>
    <t>Weather forecast integration</t>
  </si>
  <si>
    <t>OTA updates working</t>
  </si>
  <si>
    <t>Week 16: Documentation &amp; Validation</t>
  </si>
  <si>
    <r>
      <t>Goal:</t>
    </r>
    <r>
      <rPr>
        <sz val="11"/>
        <color theme="1"/>
        <rFont val="Aptos Narrow"/>
        <family val="2"/>
        <scheme val="minor"/>
      </rPr>
      <t xml:space="preserve"> Finish strong with complete documentation</t>
    </r>
  </si>
  <si>
    <t>Write complete build guide with photos</t>
  </si>
  <si>
    <t>Create wiring diagrams (Fritzing or hand-drawn)</t>
  </si>
  <si>
    <t>Document API with examples</t>
  </si>
  <si>
    <t>Write blog post about the project</t>
  </si>
  <si>
    <t>Run 7-day validation test (measure all success criteria)</t>
  </si>
  <si>
    <t>Export data for potential citizen science contribution</t>
  </si>
  <si>
    <t>Create project video/demo</t>
  </si>
  <si>
    <r>
      <t>Final Milestone Review:</t>
    </r>
    <r>
      <rPr>
        <sz val="11"/>
        <color theme="1"/>
        <rFont val="Aptos Narrow"/>
        <family val="2"/>
        <scheme val="minor"/>
      </rPr>
      <t xml:space="preserve"> Complete system operational</t>
    </r>
  </si>
  <si>
    <t>Published documentation (GitHub README, blog post)</t>
  </si>
  <si>
    <t>Validation test results showing all requirements met</t>
  </si>
  <si>
    <t>Portfolio-ready project demo</t>
  </si>
  <si>
    <t>Common blockers &amp; solutions:</t>
  </si>
  <si>
    <r>
      <t>WiFi range issues:</t>
    </r>
    <r>
      <rPr>
        <sz val="11"/>
        <color theme="1"/>
        <rFont val="Aptos Narrow"/>
        <family val="2"/>
        <scheme val="minor"/>
      </rPr>
      <t xml:space="preserve"> Use ESP32 with external antenna or add WiFi extender</t>
    </r>
  </si>
  <si>
    <r>
      <t>Condensation:</t>
    </r>
    <r>
      <rPr>
        <sz val="11"/>
        <color theme="1"/>
        <rFont val="Aptos Narrow"/>
        <family val="2"/>
        <scheme val="minor"/>
      </rPr>
      <t xml:space="preserve"> Add more desiccant, improve ventilation with breathable membrane</t>
    </r>
  </si>
  <si>
    <r>
      <t>Battery not charging:</t>
    </r>
    <r>
      <rPr>
        <sz val="11"/>
        <color theme="1"/>
        <rFont val="Aptos Narrow"/>
        <family val="2"/>
        <scheme val="minor"/>
      </rPr>
      <t xml:space="preserve"> Check solar panel orientation, verify TP4056 connections</t>
    </r>
  </si>
  <si>
    <r>
      <t>SD card corruption:</t>
    </r>
    <r>
      <rPr>
        <sz val="11"/>
        <color theme="1"/>
        <rFont val="Aptos Narrow"/>
        <family val="2"/>
        <scheme val="minor"/>
      </rPr>
      <t xml:space="preserve"> Use industrial-grade card, implement atomic writes</t>
    </r>
  </si>
  <si>
    <t>SUCCESS TRACKING</t>
  </si>
  <si>
    <t>Create a simple spreadsheet to track:</t>
  </si>
  <si>
    <t>Parts ordered (date, supplier, cost)</t>
  </si>
  <si>
    <t>Weekly tasks completed (checklist)</t>
  </si>
  <si>
    <t>System uptime % (weekly calculation)</t>
  </si>
  <si>
    <t>Data loss % (weekly calculation)</t>
  </si>
  <si>
    <t>Power consumption measurements</t>
  </si>
  <si>
    <t>ML model accuracy over time</t>
  </si>
  <si>
    <t>Total project cost vs budget</t>
  </si>
  <si>
    <t>Review points:</t>
  </si>
  <si>
    <t>End of Month 1: Is prototype working?</t>
  </si>
  <si>
    <t>End of Month 2: Is outdoor unit reliable?</t>
  </si>
  <si>
    <t>End of Month 3: Is ML model useful?</t>
  </si>
  <si>
    <t>End of Month 4: Is project complete enough to publish?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</si>
</sst>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£&quot;#,##0;[Red]\-&quot;£&quot;#,##0"/>
    <numFmt numFmtId="8" formatCode="&quot;£&quot;#,##0.00;[Red]\-&quot;£&quot;#,##0.00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3.5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0" applyFont="1" applyAlignment="1">
      <alignment vertical="center" wrapText="1"/>
    </xf>
    <xf numFmtId="8" fontId="0" fillId="0" borderId="0" xfId="0" applyNumberFormat="1"/>
    <xf numFmtId="8" fontId="0" fillId="0" borderId="0" xfId="0" applyNumberFormat="1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6" fontId="0" fillId="0" borderId="0" xfId="0" applyNumberFormat="1" applyAlignment="1">
      <alignment vertical="center" wrapText="1"/>
    </xf>
    <xf numFmtId="0" fontId="1" fillId="0" borderId="0" xfId="0" applyFont="1"/>
    <xf numFmtId="0" fontId="0" fillId="0" borderId="0" xfId="0" applyAlignment="1">
      <alignment horizontal="left" vertical="center" indent="1"/>
    </xf>
    <xf numFmtId="0" fontId="1" fillId="0" borderId="0" xfId="0" applyFont="1" applyAlignment="1">
      <alignment horizontal="left" vertical="center" indent="1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horizontal="left" vertical="center" indent="2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89741-FB23-439E-9C0B-A3A2630A29DB}">
  <dimension ref="B3:H42"/>
  <sheetViews>
    <sheetView topLeftCell="A36" workbookViewId="0">
      <selection activeCell="F37" sqref="F37"/>
    </sheetView>
  </sheetViews>
  <sheetFormatPr defaultRowHeight="15" x14ac:dyDescent="0.25"/>
  <cols>
    <col min="2" max="2" width="14.5703125" customWidth="1"/>
    <col min="3" max="3" width="17.5703125" customWidth="1"/>
    <col min="8" max="8" width="17" customWidth="1"/>
  </cols>
  <sheetData>
    <row r="3" spans="2:8" x14ac:dyDescent="0.25">
      <c r="B3" s="6" t="s">
        <v>27</v>
      </c>
      <c r="C3" s="6"/>
      <c r="D3" s="6"/>
      <c r="E3" s="6"/>
      <c r="F3" s="6"/>
      <c r="G3" s="6"/>
      <c r="H3" s="6"/>
    </row>
    <row r="4" spans="2:8" ht="30" x14ac:dyDescent="0.25">
      <c r="B4" s="1" t="s">
        <v>0</v>
      </c>
      <c r="C4" s="1" t="s">
        <v>1</v>
      </c>
      <c r="D4" s="1" t="s">
        <v>2</v>
      </c>
      <c r="E4" s="1" t="s">
        <v>3</v>
      </c>
      <c r="F4" s="1" t="s">
        <v>4</v>
      </c>
      <c r="G4" s="1" t="s">
        <v>5</v>
      </c>
      <c r="H4" s="1" t="s">
        <v>6</v>
      </c>
    </row>
    <row r="5" spans="2:8" ht="60" x14ac:dyDescent="0.25">
      <c r="B5" s="3" t="s">
        <v>7</v>
      </c>
      <c r="C5" s="2" t="s">
        <v>8</v>
      </c>
      <c r="D5" s="2">
        <v>1</v>
      </c>
      <c r="E5" s="2" t="s">
        <v>9</v>
      </c>
      <c r="F5" s="5">
        <v>9.99</v>
      </c>
      <c r="G5" s="5">
        <v>9.99</v>
      </c>
      <c r="H5" s="2" t="s">
        <v>10</v>
      </c>
    </row>
    <row r="6" spans="2:8" ht="60" x14ac:dyDescent="0.25">
      <c r="B6" s="3" t="s">
        <v>11</v>
      </c>
      <c r="C6" s="2" t="s">
        <v>12</v>
      </c>
      <c r="D6" s="2">
        <v>1</v>
      </c>
      <c r="E6" s="2" t="s">
        <v>13</v>
      </c>
      <c r="F6" s="5">
        <v>7.5</v>
      </c>
      <c r="G6" s="5">
        <v>7.5</v>
      </c>
      <c r="H6" s="2" t="s">
        <v>14</v>
      </c>
    </row>
    <row r="7" spans="2:8" ht="60" x14ac:dyDescent="0.25">
      <c r="B7" s="3" t="s">
        <v>15</v>
      </c>
      <c r="C7" s="2" t="s">
        <v>16</v>
      </c>
      <c r="D7" s="2">
        <v>1</v>
      </c>
      <c r="E7" s="2" t="s">
        <v>17</v>
      </c>
      <c r="F7" s="5">
        <v>9.9</v>
      </c>
      <c r="G7" s="5">
        <v>9.9</v>
      </c>
      <c r="H7" s="2" t="s">
        <v>18</v>
      </c>
    </row>
    <row r="8" spans="2:8" ht="45" x14ac:dyDescent="0.25">
      <c r="B8" s="3" t="s">
        <v>19</v>
      </c>
      <c r="C8" s="2" t="s">
        <v>20</v>
      </c>
      <c r="D8" s="2">
        <v>1</v>
      </c>
      <c r="E8" s="2" t="s">
        <v>21</v>
      </c>
      <c r="F8" s="5">
        <v>10.99</v>
      </c>
      <c r="G8" s="5">
        <v>10.99</v>
      </c>
      <c r="H8" s="2" t="s">
        <v>22</v>
      </c>
    </row>
    <row r="9" spans="2:8" ht="30" x14ac:dyDescent="0.25">
      <c r="B9" s="3" t="s">
        <v>23</v>
      </c>
      <c r="C9" s="2" t="s">
        <v>24</v>
      </c>
      <c r="D9" s="2">
        <v>1</v>
      </c>
      <c r="E9" s="2" t="s">
        <v>25</v>
      </c>
      <c r="F9" s="5">
        <v>3.5</v>
      </c>
      <c r="G9" s="5">
        <v>3.5</v>
      </c>
      <c r="H9" s="2" t="s">
        <v>26</v>
      </c>
    </row>
    <row r="10" spans="2:8" x14ac:dyDescent="0.25">
      <c r="B10" s="2"/>
      <c r="C10" s="2"/>
      <c r="D10" s="2"/>
      <c r="E10" s="2"/>
      <c r="F10" s="2"/>
      <c r="G10" s="4">
        <f>SUM(G5:G9)</f>
        <v>41.88</v>
      </c>
    </row>
    <row r="11" spans="2:8" x14ac:dyDescent="0.25">
      <c r="B11" s="2"/>
      <c r="C11" s="2"/>
      <c r="D11" s="2"/>
      <c r="E11" s="2"/>
      <c r="F11" s="2"/>
    </row>
    <row r="12" spans="2:8" x14ac:dyDescent="0.25">
      <c r="B12" s="7" t="s">
        <v>52</v>
      </c>
      <c r="C12" s="7"/>
      <c r="D12" s="7"/>
      <c r="E12" s="7"/>
      <c r="F12" s="7"/>
      <c r="G12" s="7"/>
      <c r="H12" s="7"/>
    </row>
    <row r="13" spans="2:8" ht="30" x14ac:dyDescent="0.25">
      <c r="B13" s="1" t="s">
        <v>0</v>
      </c>
      <c r="C13" s="1" t="s">
        <v>1</v>
      </c>
      <c r="D13" s="1" t="s">
        <v>2</v>
      </c>
      <c r="E13" s="1" t="s">
        <v>3</v>
      </c>
      <c r="F13" s="1" t="s">
        <v>4</v>
      </c>
      <c r="G13" s="1" t="s">
        <v>5</v>
      </c>
      <c r="H13" s="1" t="s">
        <v>6</v>
      </c>
    </row>
    <row r="14" spans="2:8" ht="45" x14ac:dyDescent="0.25">
      <c r="B14" s="3" t="s">
        <v>28</v>
      </c>
      <c r="C14" s="2" t="s">
        <v>29</v>
      </c>
      <c r="D14" s="2">
        <v>1</v>
      </c>
      <c r="E14" s="2" t="s">
        <v>21</v>
      </c>
      <c r="F14" s="5">
        <v>12.99</v>
      </c>
      <c r="G14" s="5">
        <v>12.99</v>
      </c>
      <c r="H14" s="2" t="s">
        <v>30</v>
      </c>
    </row>
    <row r="15" spans="2:8" ht="45" x14ac:dyDescent="0.25">
      <c r="B15" s="3" t="s">
        <v>31</v>
      </c>
      <c r="C15" s="2" t="s">
        <v>32</v>
      </c>
      <c r="D15" s="2">
        <v>2</v>
      </c>
      <c r="E15" s="2" t="s">
        <v>33</v>
      </c>
      <c r="F15" s="5">
        <v>6.99</v>
      </c>
      <c r="G15" s="5">
        <v>13.98</v>
      </c>
      <c r="H15" s="2" t="s">
        <v>34</v>
      </c>
    </row>
    <row r="16" spans="2:8" ht="45" x14ac:dyDescent="0.25">
      <c r="B16" s="3" t="s">
        <v>35</v>
      </c>
      <c r="C16" s="2" t="s">
        <v>36</v>
      </c>
      <c r="D16" s="2">
        <v>1</v>
      </c>
      <c r="E16" s="2" t="s">
        <v>21</v>
      </c>
      <c r="F16" s="5">
        <v>3.99</v>
      </c>
      <c r="G16" s="5">
        <v>3.99</v>
      </c>
      <c r="H16" s="2" t="s">
        <v>37</v>
      </c>
    </row>
    <row r="17" spans="2:8" ht="60" x14ac:dyDescent="0.25">
      <c r="B17" s="3" t="s">
        <v>38</v>
      </c>
      <c r="C17" s="2" t="s">
        <v>39</v>
      </c>
      <c r="D17" s="2">
        <v>2</v>
      </c>
      <c r="E17" s="2" t="s">
        <v>25</v>
      </c>
      <c r="F17" s="5">
        <v>1.99</v>
      </c>
      <c r="G17" s="5">
        <v>3.98</v>
      </c>
      <c r="H17" s="2" t="s">
        <v>40</v>
      </c>
    </row>
    <row r="18" spans="2:8" ht="45" x14ac:dyDescent="0.25">
      <c r="B18" s="3" t="s">
        <v>41</v>
      </c>
      <c r="C18" s="2" t="s">
        <v>42</v>
      </c>
      <c r="D18" s="2">
        <v>1</v>
      </c>
      <c r="E18" s="2" t="s">
        <v>21</v>
      </c>
      <c r="F18" s="5">
        <v>3.49</v>
      </c>
      <c r="G18" s="5">
        <v>3.49</v>
      </c>
      <c r="H18" s="2" t="s">
        <v>43</v>
      </c>
    </row>
    <row r="19" spans="2:8" ht="45" x14ac:dyDescent="0.25">
      <c r="B19" s="3" t="s">
        <v>44</v>
      </c>
      <c r="C19" s="2" t="s">
        <v>45</v>
      </c>
      <c r="D19" s="2">
        <v>2</v>
      </c>
      <c r="E19" s="2" t="s">
        <v>46</v>
      </c>
      <c r="F19" s="5">
        <v>0.5</v>
      </c>
      <c r="G19" s="5">
        <v>1</v>
      </c>
      <c r="H19" s="2" t="s">
        <v>47</v>
      </c>
    </row>
    <row r="20" spans="2:8" ht="45" x14ac:dyDescent="0.25">
      <c r="B20" s="3" t="s">
        <v>48</v>
      </c>
      <c r="C20" s="2" t="s">
        <v>49</v>
      </c>
      <c r="D20" s="2">
        <v>2</v>
      </c>
      <c r="E20" s="2" t="s">
        <v>50</v>
      </c>
      <c r="F20" s="5">
        <v>0.5</v>
      </c>
      <c r="G20" s="5">
        <v>1</v>
      </c>
      <c r="H20" s="2" t="s">
        <v>51</v>
      </c>
    </row>
    <row r="21" spans="2:8" x14ac:dyDescent="0.25">
      <c r="G21" s="4">
        <f>SUM(G14:G20)</f>
        <v>40.43</v>
      </c>
    </row>
    <row r="22" spans="2:8" x14ac:dyDescent="0.25">
      <c r="B22" s="7" t="s">
        <v>53</v>
      </c>
      <c r="C22" s="7"/>
      <c r="D22" s="7"/>
      <c r="E22" s="7"/>
      <c r="F22" s="7"/>
      <c r="G22" s="7"/>
      <c r="H22" s="7"/>
    </row>
    <row r="23" spans="2:8" ht="30" x14ac:dyDescent="0.25">
      <c r="B23" s="1" t="s">
        <v>0</v>
      </c>
      <c r="C23" s="1" t="s">
        <v>1</v>
      </c>
      <c r="D23" s="1" t="s">
        <v>2</v>
      </c>
      <c r="E23" s="1" t="s">
        <v>3</v>
      </c>
      <c r="F23" s="1" t="s">
        <v>4</v>
      </c>
      <c r="G23" s="1" t="s">
        <v>5</v>
      </c>
      <c r="H23" s="1" t="s">
        <v>6</v>
      </c>
    </row>
    <row r="24" spans="2:8" ht="45" x14ac:dyDescent="0.25">
      <c r="B24" s="3" t="s">
        <v>54</v>
      </c>
      <c r="C24" s="2" t="s">
        <v>55</v>
      </c>
      <c r="D24" s="2" t="s">
        <v>56</v>
      </c>
      <c r="E24" s="2" t="s">
        <v>21</v>
      </c>
      <c r="F24" s="5">
        <v>5.99</v>
      </c>
      <c r="G24" s="5">
        <v>5.99</v>
      </c>
      <c r="H24" s="2" t="s">
        <v>57</v>
      </c>
    </row>
    <row r="25" spans="2:8" ht="45" x14ac:dyDescent="0.25">
      <c r="B25" s="3" t="s">
        <v>58</v>
      </c>
      <c r="C25" s="2" t="s">
        <v>59</v>
      </c>
      <c r="D25" s="2" t="s">
        <v>60</v>
      </c>
      <c r="E25" s="2" t="s">
        <v>61</v>
      </c>
      <c r="F25" s="2" t="s">
        <v>62</v>
      </c>
      <c r="G25" s="5">
        <v>3</v>
      </c>
      <c r="H25" s="2" t="s">
        <v>63</v>
      </c>
    </row>
    <row r="26" spans="2:8" ht="30" x14ac:dyDescent="0.25">
      <c r="B26" s="3" t="s">
        <v>64</v>
      </c>
      <c r="C26" s="2" t="s">
        <v>65</v>
      </c>
      <c r="D26" s="2" t="s">
        <v>56</v>
      </c>
      <c r="E26" s="2" t="s">
        <v>21</v>
      </c>
      <c r="F26" s="5">
        <v>4.99</v>
      </c>
      <c r="G26" s="5">
        <v>4.99</v>
      </c>
      <c r="H26" s="2" t="s">
        <v>66</v>
      </c>
    </row>
    <row r="27" spans="2:8" ht="30" x14ac:dyDescent="0.25">
      <c r="B27" s="3" t="s">
        <v>67</v>
      </c>
      <c r="C27" s="2" t="s">
        <v>68</v>
      </c>
      <c r="D27" s="2" t="s">
        <v>69</v>
      </c>
      <c r="E27" s="2" t="s">
        <v>25</v>
      </c>
      <c r="F27" s="5">
        <v>0.5</v>
      </c>
      <c r="G27" s="5">
        <v>2.5</v>
      </c>
      <c r="H27" s="2" t="s">
        <v>70</v>
      </c>
    </row>
    <row r="28" spans="2:8" ht="45" x14ac:dyDescent="0.25">
      <c r="B28" s="3" t="s">
        <v>71</v>
      </c>
      <c r="C28" s="2" t="s">
        <v>72</v>
      </c>
      <c r="D28" s="2" t="s">
        <v>73</v>
      </c>
      <c r="E28" s="2" t="s">
        <v>74</v>
      </c>
      <c r="F28" s="2" t="s">
        <v>75</v>
      </c>
      <c r="G28" s="5">
        <v>3.6</v>
      </c>
      <c r="H28" s="2" t="s">
        <v>76</v>
      </c>
    </row>
    <row r="29" spans="2:8" x14ac:dyDescent="0.25">
      <c r="G29" s="4">
        <f>SUM(G24:G28)</f>
        <v>20.080000000000002</v>
      </c>
    </row>
    <row r="30" spans="2:8" x14ac:dyDescent="0.25">
      <c r="B30" s="7" t="s">
        <v>77</v>
      </c>
      <c r="C30" s="7"/>
      <c r="D30" s="7"/>
      <c r="E30" s="7"/>
      <c r="F30" s="7"/>
      <c r="G30" s="7"/>
      <c r="H30" s="7"/>
    </row>
    <row r="31" spans="2:8" ht="30" x14ac:dyDescent="0.25">
      <c r="B31" s="1" t="s">
        <v>0</v>
      </c>
      <c r="C31" s="1" t="s">
        <v>1</v>
      </c>
      <c r="D31" s="1" t="s">
        <v>2</v>
      </c>
      <c r="E31" s="1" t="s">
        <v>3</v>
      </c>
      <c r="F31" s="1" t="s">
        <v>79</v>
      </c>
      <c r="G31" s="1" t="s">
        <v>6</v>
      </c>
      <c r="H31" s="1" t="s">
        <v>78</v>
      </c>
    </row>
    <row r="32" spans="2:8" ht="45" x14ac:dyDescent="0.25">
      <c r="B32" s="3" t="s">
        <v>80</v>
      </c>
      <c r="C32" t="s">
        <v>102</v>
      </c>
      <c r="D32" t="s">
        <v>102</v>
      </c>
      <c r="E32" s="2" t="s">
        <v>21</v>
      </c>
      <c r="F32" s="2" t="s">
        <v>82</v>
      </c>
      <c r="G32" s="2" t="s">
        <v>83</v>
      </c>
      <c r="H32" s="2" t="s">
        <v>81</v>
      </c>
    </row>
    <row r="33" spans="2:8" ht="60" x14ac:dyDescent="0.25">
      <c r="B33" s="3" t="s">
        <v>84</v>
      </c>
      <c r="C33" t="s">
        <v>102</v>
      </c>
      <c r="D33" t="s">
        <v>102</v>
      </c>
      <c r="E33" s="2" t="s">
        <v>86</v>
      </c>
      <c r="F33" s="2" t="s">
        <v>87</v>
      </c>
      <c r="G33" s="2" t="s">
        <v>88</v>
      </c>
      <c r="H33" s="2" t="s">
        <v>85</v>
      </c>
    </row>
    <row r="34" spans="2:8" ht="30" x14ac:dyDescent="0.25">
      <c r="B34" s="3" t="s">
        <v>89</v>
      </c>
      <c r="C34" t="s">
        <v>102</v>
      </c>
      <c r="D34" t="s">
        <v>102</v>
      </c>
      <c r="E34" s="2" t="s">
        <v>91</v>
      </c>
      <c r="F34" s="2" t="s">
        <v>92</v>
      </c>
      <c r="G34" s="2" t="s">
        <v>93</v>
      </c>
      <c r="H34" s="2" t="s">
        <v>90</v>
      </c>
    </row>
    <row r="35" spans="2:8" ht="45" x14ac:dyDescent="0.25">
      <c r="B35" s="3" t="s">
        <v>94</v>
      </c>
      <c r="C35" t="s">
        <v>102</v>
      </c>
      <c r="D35" t="s">
        <v>102</v>
      </c>
      <c r="E35" s="2" t="s">
        <v>21</v>
      </c>
      <c r="F35" s="2" t="s">
        <v>96</v>
      </c>
      <c r="G35" s="2" t="s">
        <v>97</v>
      </c>
      <c r="H35" s="2" t="s">
        <v>95</v>
      </c>
    </row>
    <row r="36" spans="2:8" ht="45" x14ac:dyDescent="0.25">
      <c r="B36" s="3" t="s">
        <v>98</v>
      </c>
      <c r="C36" t="s">
        <v>102</v>
      </c>
      <c r="D36" t="s">
        <v>102</v>
      </c>
      <c r="E36" s="2" t="s">
        <v>61</v>
      </c>
      <c r="F36" s="2" t="s">
        <v>100</v>
      </c>
      <c r="G36" s="2" t="s">
        <v>101</v>
      </c>
      <c r="H36" s="2" t="s">
        <v>99</v>
      </c>
    </row>
    <row r="38" spans="2:8" x14ac:dyDescent="0.25">
      <c r="B38" s="7" t="s">
        <v>103</v>
      </c>
      <c r="C38" s="7"/>
      <c r="D38" s="7"/>
      <c r="E38" s="7"/>
      <c r="F38" s="7"/>
      <c r="G38" s="7"/>
      <c r="H38" s="7"/>
    </row>
    <row r="39" spans="2:8" ht="30" x14ac:dyDescent="0.25">
      <c r="B39" s="1" t="s">
        <v>0</v>
      </c>
      <c r="C39" s="1" t="s">
        <v>104</v>
      </c>
      <c r="D39" s="1" t="s">
        <v>3</v>
      </c>
      <c r="E39" s="1" t="s">
        <v>105</v>
      </c>
      <c r="F39" s="1" t="s">
        <v>6</v>
      </c>
    </row>
    <row r="40" spans="2:8" ht="45" x14ac:dyDescent="0.25">
      <c r="B40" s="3" t="s">
        <v>106</v>
      </c>
      <c r="C40" s="2" t="s">
        <v>107</v>
      </c>
      <c r="D40" s="2" t="s">
        <v>92</v>
      </c>
      <c r="E40" s="8">
        <v>0</v>
      </c>
      <c r="F40" s="2" t="s">
        <v>108</v>
      </c>
    </row>
    <row r="41" spans="2:8" ht="105" x14ac:dyDescent="0.25">
      <c r="B41" s="3" t="s">
        <v>109</v>
      </c>
      <c r="C41" s="2" t="s">
        <v>110</v>
      </c>
      <c r="D41" s="2" t="s">
        <v>13</v>
      </c>
      <c r="E41" s="8">
        <v>54</v>
      </c>
      <c r="F41" s="2" t="s">
        <v>111</v>
      </c>
    </row>
    <row r="42" spans="2:8" ht="105" x14ac:dyDescent="0.25">
      <c r="B42" s="3" t="s">
        <v>112</v>
      </c>
      <c r="C42" s="2" t="s">
        <v>113</v>
      </c>
      <c r="D42" s="2" t="s">
        <v>114</v>
      </c>
      <c r="E42" s="5">
        <v>13.5</v>
      </c>
      <c r="F42" s="2" t="s">
        <v>115</v>
      </c>
    </row>
  </sheetData>
  <mergeCells count="5">
    <mergeCell ref="B3:H3"/>
    <mergeCell ref="B12:H12"/>
    <mergeCell ref="B22:H22"/>
    <mergeCell ref="B30:H30"/>
    <mergeCell ref="B38:H3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A58C-6195-4C1A-AE0B-292D3A633E82}">
  <sheetPr codeName="Sheet1"/>
  <dimension ref="A2:G362"/>
  <sheetViews>
    <sheetView tabSelected="1" workbookViewId="0">
      <selection activeCell="E6" sqref="E6"/>
    </sheetView>
  </sheetViews>
  <sheetFormatPr defaultRowHeight="15" x14ac:dyDescent="0.25"/>
  <cols>
    <col min="1" max="1" width="72.85546875" bestFit="1" customWidth="1"/>
    <col min="5" max="5" width="40.42578125" customWidth="1"/>
    <col min="6" max="6" width="27.140625" bestFit="1" customWidth="1"/>
    <col min="7" max="7" width="31.85546875" bestFit="1" customWidth="1"/>
  </cols>
  <sheetData>
    <row r="2" spans="1:7" ht="18" x14ac:dyDescent="0.25">
      <c r="A2" s="12" t="s">
        <v>141</v>
      </c>
      <c r="E2" s="7" t="s">
        <v>116</v>
      </c>
      <c r="F2" s="7"/>
      <c r="G2" s="7"/>
    </row>
    <row r="3" spans="1:7" x14ac:dyDescent="0.25">
      <c r="E3" s="9" t="s">
        <v>117</v>
      </c>
      <c r="F3" s="9" t="s">
        <v>124</v>
      </c>
      <c r="G3" s="9" t="s">
        <v>131</v>
      </c>
    </row>
    <row r="4" spans="1:7" x14ac:dyDescent="0.25">
      <c r="A4" s="9" t="s">
        <v>142</v>
      </c>
      <c r="E4" s="10"/>
      <c r="F4" s="10"/>
      <c r="G4" s="10"/>
    </row>
    <row r="5" spans="1:7" x14ac:dyDescent="0.25">
      <c r="A5" s="9" t="s">
        <v>143</v>
      </c>
      <c r="E5" s="10" t="s">
        <v>118</v>
      </c>
      <c r="F5" s="10" t="s">
        <v>125</v>
      </c>
      <c r="G5" s="10" t="s">
        <v>132</v>
      </c>
    </row>
    <row r="6" spans="1:7" x14ac:dyDescent="0.25">
      <c r="A6" s="9" t="s">
        <v>144</v>
      </c>
      <c r="E6" s="10" t="s">
        <v>119</v>
      </c>
      <c r="F6" s="10" t="s">
        <v>126</v>
      </c>
      <c r="G6" s="10" t="s">
        <v>133</v>
      </c>
    </row>
    <row r="7" spans="1:7" x14ac:dyDescent="0.25">
      <c r="E7" s="10" t="s">
        <v>120</v>
      </c>
      <c r="F7" s="10" t="s">
        <v>127</v>
      </c>
      <c r="G7" s="10" t="s">
        <v>134</v>
      </c>
    </row>
    <row r="8" spans="1:7" ht="24" x14ac:dyDescent="0.25">
      <c r="A8" s="13" t="s">
        <v>145</v>
      </c>
      <c r="E8" s="10" t="s">
        <v>121</v>
      </c>
      <c r="F8" s="10" t="s">
        <v>128</v>
      </c>
      <c r="G8" s="10" t="s">
        <v>135</v>
      </c>
    </row>
    <row r="9" spans="1:7" x14ac:dyDescent="0.25">
      <c r="E9" s="10" t="s">
        <v>122</v>
      </c>
      <c r="F9" s="10" t="s">
        <v>129</v>
      </c>
      <c r="G9" s="10" t="s">
        <v>136</v>
      </c>
    </row>
    <row r="10" spans="1:7" ht="18" x14ac:dyDescent="0.25">
      <c r="A10" s="12" t="s">
        <v>146</v>
      </c>
      <c r="E10" s="11" t="s">
        <v>123</v>
      </c>
      <c r="F10" s="11" t="s">
        <v>130</v>
      </c>
      <c r="G10" s="10" t="s">
        <v>137</v>
      </c>
    </row>
    <row r="11" spans="1:7" x14ac:dyDescent="0.25">
      <c r="G11" s="10" t="s">
        <v>138</v>
      </c>
    </row>
    <row r="12" spans="1:7" x14ac:dyDescent="0.25">
      <c r="A12" s="9" t="s">
        <v>147</v>
      </c>
      <c r="G12" s="10" t="s">
        <v>139</v>
      </c>
    </row>
    <row r="13" spans="1:7" x14ac:dyDescent="0.25">
      <c r="G13" s="11" t="s">
        <v>140</v>
      </c>
    </row>
    <row r="14" spans="1:7" x14ac:dyDescent="0.25">
      <c r="A14" s="9" t="s">
        <v>148</v>
      </c>
    </row>
    <row r="15" spans="1:7" x14ac:dyDescent="0.25">
      <c r="A15" s="10"/>
      <c r="E15" s="9" t="s">
        <v>363</v>
      </c>
    </row>
    <row r="16" spans="1:7" x14ac:dyDescent="0.25">
      <c r="A16" s="10" t="s">
        <v>149</v>
      </c>
      <c r="B16" s="14" t="b">
        <v>0</v>
      </c>
      <c r="E16" s="10"/>
    </row>
    <row r="17" spans="1:5" x14ac:dyDescent="0.25">
      <c r="A17" s="10" t="s">
        <v>150</v>
      </c>
      <c r="B17" s="14" t="b">
        <v>0</v>
      </c>
      <c r="E17" s="11" t="s">
        <v>364</v>
      </c>
    </row>
    <row r="18" spans="1:5" x14ac:dyDescent="0.25">
      <c r="A18" s="10" t="s">
        <v>151</v>
      </c>
      <c r="B18" s="14" t="b">
        <v>0</v>
      </c>
      <c r="E18" s="11" t="s">
        <v>365</v>
      </c>
    </row>
    <row r="19" spans="1:5" x14ac:dyDescent="0.25">
      <c r="A19" s="10" t="s">
        <v>152</v>
      </c>
      <c r="B19" s="14" t="b">
        <v>0</v>
      </c>
      <c r="E19" s="11" t="s">
        <v>366</v>
      </c>
    </row>
    <row r="20" spans="1:5" x14ac:dyDescent="0.25">
      <c r="A20" s="10" t="s">
        <v>153</v>
      </c>
      <c r="B20" s="14" t="b">
        <v>0</v>
      </c>
      <c r="E20" s="11" t="s">
        <v>367</v>
      </c>
    </row>
    <row r="21" spans="1:5" x14ac:dyDescent="0.25">
      <c r="A21" s="10" t="s">
        <v>154</v>
      </c>
      <c r="B21" s="14" t="b">
        <v>0</v>
      </c>
    </row>
    <row r="22" spans="1:5" x14ac:dyDescent="0.25">
      <c r="A22" s="10" t="s">
        <v>155</v>
      </c>
      <c r="B22" s="14" t="b">
        <v>0</v>
      </c>
    </row>
    <row r="23" spans="1:5" ht="24" x14ac:dyDescent="0.25">
      <c r="E23" s="13" t="s">
        <v>368</v>
      </c>
    </row>
    <row r="24" spans="1:5" x14ac:dyDescent="0.25">
      <c r="A24" s="9" t="s">
        <v>156</v>
      </c>
    </row>
    <row r="25" spans="1:5" x14ac:dyDescent="0.25">
      <c r="A25" s="10"/>
      <c r="E25" t="s">
        <v>369</v>
      </c>
    </row>
    <row r="26" spans="1:5" x14ac:dyDescent="0.25">
      <c r="A26" s="10" t="s">
        <v>157</v>
      </c>
      <c r="B26" s="14" t="b">
        <v>0</v>
      </c>
      <c r="E26" s="10"/>
    </row>
    <row r="27" spans="1:5" x14ac:dyDescent="0.25">
      <c r="A27" s="10" t="s">
        <v>158</v>
      </c>
      <c r="B27" s="14" t="b">
        <v>0</v>
      </c>
      <c r="E27" s="10" t="s">
        <v>370</v>
      </c>
    </row>
    <row r="28" spans="1:5" x14ac:dyDescent="0.25">
      <c r="A28" s="10" t="s">
        <v>159</v>
      </c>
      <c r="B28" s="14" t="b">
        <v>0</v>
      </c>
      <c r="E28" s="10" t="s">
        <v>371</v>
      </c>
    </row>
    <row r="29" spans="1:5" x14ac:dyDescent="0.25">
      <c r="E29" s="10" t="s">
        <v>372</v>
      </c>
    </row>
    <row r="30" spans="1:5" x14ac:dyDescent="0.25">
      <c r="A30" s="9" t="s">
        <v>160</v>
      </c>
      <c r="E30" s="10" t="s">
        <v>373</v>
      </c>
    </row>
    <row r="31" spans="1:5" x14ac:dyDescent="0.25">
      <c r="E31" s="10" t="s">
        <v>374</v>
      </c>
    </row>
    <row r="32" spans="1:5" ht="18" x14ac:dyDescent="0.25">
      <c r="A32" s="12" t="s">
        <v>161</v>
      </c>
      <c r="E32" s="10" t="s">
        <v>375</v>
      </c>
    </row>
    <row r="33" spans="1:6" x14ac:dyDescent="0.25">
      <c r="E33" s="10" t="s">
        <v>376</v>
      </c>
    </row>
    <row r="34" spans="1:6" x14ac:dyDescent="0.25">
      <c r="A34" s="9" t="s">
        <v>162</v>
      </c>
    </row>
    <row r="35" spans="1:6" x14ac:dyDescent="0.25">
      <c r="F35" s="9" t="s">
        <v>377</v>
      </c>
    </row>
    <row r="36" spans="1:6" x14ac:dyDescent="0.25">
      <c r="A36" s="9" t="s">
        <v>148</v>
      </c>
      <c r="F36" s="10"/>
    </row>
    <row r="37" spans="1:6" x14ac:dyDescent="0.25">
      <c r="A37" s="10"/>
      <c r="E37" s="14" t="b">
        <v>0</v>
      </c>
      <c r="F37" s="10" t="s">
        <v>378</v>
      </c>
    </row>
    <row r="38" spans="1:6" x14ac:dyDescent="0.25">
      <c r="A38" s="10" t="s">
        <v>163</v>
      </c>
      <c r="B38" s="14" t="b">
        <v>0</v>
      </c>
      <c r="E38" s="14" t="b">
        <v>0</v>
      </c>
      <c r="F38" s="10" t="s">
        <v>379</v>
      </c>
    </row>
    <row r="39" spans="1:6" x14ac:dyDescent="0.25">
      <c r="A39" s="10" t="s">
        <v>164</v>
      </c>
      <c r="B39" s="14" t="b">
        <v>0</v>
      </c>
      <c r="E39" s="14" t="b">
        <v>0</v>
      </c>
      <c r="F39" s="10" t="s">
        <v>380</v>
      </c>
    </row>
    <row r="40" spans="1:6" x14ac:dyDescent="0.25">
      <c r="A40" s="10" t="s">
        <v>165</v>
      </c>
      <c r="B40" s="14" t="b">
        <v>0</v>
      </c>
      <c r="E40" s="14" t="b">
        <v>0</v>
      </c>
      <c r="F40" s="10" t="s">
        <v>381</v>
      </c>
    </row>
    <row r="41" spans="1:6" x14ac:dyDescent="0.25">
      <c r="A41" s="10" t="s">
        <v>166</v>
      </c>
      <c r="B41" s="14" t="b">
        <v>0</v>
      </c>
    </row>
    <row r="42" spans="1:6" x14ac:dyDescent="0.25">
      <c r="A42" s="10" t="s">
        <v>167</v>
      </c>
      <c r="B42" s="14" t="b">
        <v>0</v>
      </c>
    </row>
    <row r="43" spans="1:6" x14ac:dyDescent="0.25">
      <c r="A43" s="10" t="s">
        <v>168</v>
      </c>
      <c r="B43" s="14" t="b">
        <v>0</v>
      </c>
    </row>
    <row r="44" spans="1:6" x14ac:dyDescent="0.25">
      <c r="A44" s="10" t="s">
        <v>169</v>
      </c>
      <c r="B44" s="14" t="b">
        <v>0</v>
      </c>
    </row>
    <row r="46" spans="1:6" x14ac:dyDescent="0.25">
      <c r="A46" s="9" t="s">
        <v>156</v>
      </c>
    </row>
    <row r="47" spans="1:6" x14ac:dyDescent="0.25">
      <c r="A47" s="10"/>
    </row>
    <row r="48" spans="1:6" x14ac:dyDescent="0.25">
      <c r="A48" s="10" t="s">
        <v>170</v>
      </c>
    </row>
    <row r="49" spans="1:2" x14ac:dyDescent="0.25">
      <c r="A49" s="10" t="s">
        <v>171</v>
      </c>
    </row>
    <row r="50" spans="1:2" x14ac:dyDescent="0.25">
      <c r="A50" s="10" t="s">
        <v>172</v>
      </c>
    </row>
    <row r="52" spans="1:2" x14ac:dyDescent="0.25">
      <c r="A52" s="9" t="s">
        <v>173</v>
      </c>
    </row>
    <row r="54" spans="1:2" ht="18" x14ac:dyDescent="0.25">
      <c r="A54" s="12" t="s">
        <v>182</v>
      </c>
    </row>
    <row r="56" spans="1:2" x14ac:dyDescent="0.25">
      <c r="A56" s="9" t="s">
        <v>174</v>
      </c>
    </row>
    <row r="58" spans="1:2" x14ac:dyDescent="0.25">
      <c r="A58" s="9" t="s">
        <v>148</v>
      </c>
    </row>
    <row r="59" spans="1:2" x14ac:dyDescent="0.25">
      <c r="A59" s="10"/>
    </row>
    <row r="60" spans="1:2" x14ac:dyDescent="0.25">
      <c r="A60" s="10" t="s">
        <v>175</v>
      </c>
      <c r="B60" s="14" t="b">
        <v>0</v>
      </c>
    </row>
    <row r="61" spans="1:2" x14ac:dyDescent="0.25">
      <c r="A61" s="10" t="s">
        <v>176</v>
      </c>
      <c r="B61" s="14" t="b">
        <v>0</v>
      </c>
    </row>
    <row r="62" spans="1:2" x14ac:dyDescent="0.25">
      <c r="A62" s="10" t="s">
        <v>177</v>
      </c>
      <c r="B62" s="14" t="b">
        <v>0</v>
      </c>
    </row>
    <row r="63" spans="1:2" x14ac:dyDescent="0.25">
      <c r="A63" s="10" t="s">
        <v>178</v>
      </c>
      <c r="B63" s="14" t="b">
        <v>0</v>
      </c>
    </row>
    <row r="64" spans="1:2" x14ac:dyDescent="0.25">
      <c r="A64" s="10" t="s">
        <v>179</v>
      </c>
      <c r="B64" s="14" t="b">
        <v>0</v>
      </c>
    </row>
    <row r="65" spans="1:2" x14ac:dyDescent="0.25">
      <c r="A65" s="10" t="s">
        <v>180</v>
      </c>
      <c r="B65" s="14" t="b">
        <v>0</v>
      </c>
    </row>
    <row r="66" spans="1:2" x14ac:dyDescent="0.25">
      <c r="A66" s="10" t="s">
        <v>181</v>
      </c>
      <c r="B66" s="14" t="b">
        <v>0</v>
      </c>
    </row>
    <row r="68" spans="1:2" x14ac:dyDescent="0.25">
      <c r="A68" s="9" t="s">
        <v>156</v>
      </c>
    </row>
    <row r="69" spans="1:2" x14ac:dyDescent="0.25">
      <c r="A69" s="10"/>
    </row>
    <row r="70" spans="1:2" x14ac:dyDescent="0.25">
      <c r="A70" s="10" t="s">
        <v>183</v>
      </c>
    </row>
    <row r="71" spans="1:2" x14ac:dyDescent="0.25">
      <c r="A71" s="10" t="s">
        <v>184</v>
      </c>
    </row>
    <row r="72" spans="1:2" x14ac:dyDescent="0.25">
      <c r="A72" s="10" t="s">
        <v>185</v>
      </c>
    </row>
    <row r="74" spans="1:2" ht="18" x14ac:dyDescent="0.25">
      <c r="A74" s="12" t="s">
        <v>186</v>
      </c>
    </row>
    <row r="76" spans="1:2" x14ac:dyDescent="0.25">
      <c r="A76" s="9" t="s">
        <v>187</v>
      </c>
    </row>
    <row r="78" spans="1:2" x14ac:dyDescent="0.25">
      <c r="A78" s="9" t="s">
        <v>148</v>
      </c>
    </row>
    <row r="79" spans="1:2" x14ac:dyDescent="0.25">
      <c r="A79" s="10"/>
    </row>
    <row r="80" spans="1:2" x14ac:dyDescent="0.25">
      <c r="A80" s="10" t="s">
        <v>188</v>
      </c>
      <c r="B80" s="14" t="b">
        <v>0</v>
      </c>
    </row>
    <row r="81" spans="1:2" x14ac:dyDescent="0.25">
      <c r="A81" s="10" t="s">
        <v>189</v>
      </c>
      <c r="B81" s="14" t="b">
        <v>0</v>
      </c>
    </row>
    <row r="82" spans="1:2" x14ac:dyDescent="0.25">
      <c r="A82" s="10" t="s">
        <v>190</v>
      </c>
      <c r="B82" s="14" t="b">
        <v>0</v>
      </c>
    </row>
    <row r="83" spans="1:2" x14ac:dyDescent="0.25">
      <c r="A83" s="10" t="s">
        <v>191</v>
      </c>
      <c r="B83" s="14" t="b">
        <v>0</v>
      </c>
    </row>
    <row r="84" spans="1:2" x14ac:dyDescent="0.25">
      <c r="A84" s="10" t="s">
        <v>192</v>
      </c>
      <c r="B84" s="14" t="b">
        <v>0</v>
      </c>
    </row>
    <row r="85" spans="1:2" x14ac:dyDescent="0.25">
      <c r="A85" s="10" t="s">
        <v>193</v>
      </c>
      <c r="B85" s="14" t="b">
        <v>0</v>
      </c>
    </row>
    <row r="86" spans="1:2" x14ac:dyDescent="0.25">
      <c r="A86" s="11" t="s">
        <v>194</v>
      </c>
      <c r="B86" s="14" t="b">
        <v>0</v>
      </c>
    </row>
    <row r="88" spans="1:2" x14ac:dyDescent="0.25">
      <c r="A88" s="9" t="s">
        <v>156</v>
      </c>
    </row>
    <row r="89" spans="1:2" x14ac:dyDescent="0.25">
      <c r="A89" s="10"/>
    </row>
    <row r="90" spans="1:2" x14ac:dyDescent="0.25">
      <c r="A90" s="10" t="s">
        <v>195</v>
      </c>
    </row>
    <row r="91" spans="1:2" x14ac:dyDescent="0.25">
      <c r="A91" s="10" t="s">
        <v>196</v>
      </c>
    </row>
    <row r="92" spans="1:2" x14ac:dyDescent="0.25">
      <c r="A92" s="10" t="s">
        <v>197</v>
      </c>
    </row>
    <row r="93" spans="1:2" x14ac:dyDescent="0.25">
      <c r="A93" s="10"/>
    </row>
    <row r="94" spans="1:2" x14ac:dyDescent="0.25">
      <c r="A94" s="10"/>
    </row>
    <row r="95" spans="1:2" ht="24" x14ac:dyDescent="0.25">
      <c r="A95" s="13" t="s">
        <v>198</v>
      </c>
    </row>
    <row r="97" spans="1:2" ht="18" x14ac:dyDescent="0.25">
      <c r="A97" s="12" t="s">
        <v>199</v>
      </c>
    </row>
    <row r="99" spans="1:2" x14ac:dyDescent="0.25">
      <c r="A99" s="9" t="s">
        <v>200</v>
      </c>
    </row>
    <row r="101" spans="1:2" x14ac:dyDescent="0.25">
      <c r="A101" s="9" t="s">
        <v>148</v>
      </c>
    </row>
    <row r="102" spans="1:2" x14ac:dyDescent="0.25">
      <c r="A102" s="10"/>
    </row>
    <row r="103" spans="1:2" x14ac:dyDescent="0.25">
      <c r="A103" s="10" t="s">
        <v>201</v>
      </c>
      <c r="B103" s="14" t="b">
        <v>0</v>
      </c>
    </row>
    <row r="104" spans="1:2" x14ac:dyDescent="0.25">
      <c r="A104" s="10" t="s">
        <v>202</v>
      </c>
      <c r="B104" s="14" t="b">
        <v>0</v>
      </c>
    </row>
    <row r="105" spans="1:2" x14ac:dyDescent="0.25">
      <c r="A105" s="10" t="s">
        <v>203</v>
      </c>
      <c r="B105" s="14" t="b">
        <v>0</v>
      </c>
    </row>
    <row r="106" spans="1:2" x14ac:dyDescent="0.25">
      <c r="A106" s="10" t="s">
        <v>204</v>
      </c>
      <c r="B106" s="14" t="b">
        <v>0</v>
      </c>
    </row>
    <row r="107" spans="1:2" x14ac:dyDescent="0.25">
      <c r="A107" s="10" t="s">
        <v>205</v>
      </c>
      <c r="B107" s="14" t="b">
        <v>0</v>
      </c>
    </row>
    <row r="108" spans="1:2" x14ac:dyDescent="0.25">
      <c r="A108" s="10" t="s">
        <v>206</v>
      </c>
      <c r="B108" s="14" t="b">
        <v>0</v>
      </c>
    </row>
    <row r="109" spans="1:2" x14ac:dyDescent="0.25">
      <c r="A109" s="10" t="s">
        <v>207</v>
      </c>
      <c r="B109" s="14" t="b">
        <v>0</v>
      </c>
    </row>
    <row r="111" spans="1:2" x14ac:dyDescent="0.25">
      <c r="A111" s="9" t="s">
        <v>156</v>
      </c>
    </row>
    <row r="112" spans="1:2" x14ac:dyDescent="0.25">
      <c r="A112" s="10"/>
    </row>
    <row r="113" spans="1:2" x14ac:dyDescent="0.25">
      <c r="A113" s="10" t="s">
        <v>208</v>
      </c>
    </row>
    <row r="114" spans="1:2" x14ac:dyDescent="0.25">
      <c r="A114" s="10" t="s">
        <v>209</v>
      </c>
    </row>
    <row r="115" spans="1:2" x14ac:dyDescent="0.25">
      <c r="A115" s="10" t="s">
        <v>210</v>
      </c>
    </row>
    <row r="117" spans="1:2" x14ac:dyDescent="0.25">
      <c r="A117" s="9" t="s">
        <v>211</v>
      </c>
    </row>
    <row r="120" spans="1:2" ht="18" x14ac:dyDescent="0.25">
      <c r="A120" s="12" t="s">
        <v>212</v>
      </c>
    </row>
    <row r="122" spans="1:2" x14ac:dyDescent="0.25">
      <c r="A122" s="9" t="s">
        <v>213</v>
      </c>
    </row>
    <row r="124" spans="1:2" x14ac:dyDescent="0.25">
      <c r="A124" s="9" t="s">
        <v>148</v>
      </c>
    </row>
    <row r="125" spans="1:2" x14ac:dyDescent="0.25">
      <c r="A125" s="10"/>
    </row>
    <row r="126" spans="1:2" x14ac:dyDescent="0.25">
      <c r="A126" s="10" t="s">
        <v>214</v>
      </c>
      <c r="B126" s="14" t="b">
        <v>0</v>
      </c>
    </row>
    <row r="127" spans="1:2" x14ac:dyDescent="0.25">
      <c r="A127" s="10" t="s">
        <v>215</v>
      </c>
      <c r="B127" s="14" t="b">
        <v>0</v>
      </c>
    </row>
    <row r="128" spans="1:2" x14ac:dyDescent="0.25">
      <c r="A128" s="10" t="s">
        <v>216</v>
      </c>
      <c r="B128" s="14" t="b">
        <v>0</v>
      </c>
    </row>
    <row r="129" spans="1:2" x14ac:dyDescent="0.25">
      <c r="A129" s="10" t="s">
        <v>217</v>
      </c>
      <c r="B129" s="14" t="b">
        <v>0</v>
      </c>
    </row>
    <row r="130" spans="1:2" x14ac:dyDescent="0.25">
      <c r="A130" s="10" t="s">
        <v>218</v>
      </c>
      <c r="B130" s="14" t="b">
        <v>0</v>
      </c>
    </row>
    <row r="131" spans="1:2" x14ac:dyDescent="0.25">
      <c r="A131" s="10" t="s">
        <v>219</v>
      </c>
      <c r="B131" s="14" t="b">
        <v>0</v>
      </c>
    </row>
    <row r="132" spans="1:2" x14ac:dyDescent="0.25">
      <c r="A132" s="10" t="s">
        <v>220</v>
      </c>
      <c r="B132" s="14" t="b">
        <v>0</v>
      </c>
    </row>
    <row r="133" spans="1:2" x14ac:dyDescent="0.25">
      <c r="A133" s="10" t="s">
        <v>221</v>
      </c>
      <c r="B133" s="14" t="b">
        <v>0</v>
      </c>
    </row>
    <row r="135" spans="1:2" x14ac:dyDescent="0.25">
      <c r="A135" s="9" t="s">
        <v>156</v>
      </c>
    </row>
    <row r="136" spans="1:2" x14ac:dyDescent="0.25">
      <c r="A136" s="10"/>
    </row>
    <row r="137" spans="1:2" x14ac:dyDescent="0.25">
      <c r="A137" s="10" t="s">
        <v>222</v>
      </c>
    </row>
    <row r="138" spans="1:2" x14ac:dyDescent="0.25">
      <c r="A138" s="10" t="s">
        <v>223</v>
      </c>
    </row>
    <row r="139" spans="1:2" x14ac:dyDescent="0.25">
      <c r="A139" s="10" t="s">
        <v>224</v>
      </c>
    </row>
    <row r="141" spans="1:2" x14ac:dyDescent="0.25">
      <c r="A141" s="9" t="s">
        <v>225</v>
      </c>
    </row>
    <row r="143" spans="1:2" ht="18" x14ac:dyDescent="0.25">
      <c r="A143" s="12" t="s">
        <v>226</v>
      </c>
    </row>
    <row r="145" spans="1:2" x14ac:dyDescent="0.25">
      <c r="A145" s="9" t="s">
        <v>227</v>
      </c>
    </row>
    <row r="147" spans="1:2" x14ac:dyDescent="0.25">
      <c r="A147" s="9" t="s">
        <v>148</v>
      </c>
    </row>
    <row r="148" spans="1:2" x14ac:dyDescent="0.25">
      <c r="A148" s="10"/>
    </row>
    <row r="149" spans="1:2" x14ac:dyDescent="0.25">
      <c r="A149" s="10" t="s">
        <v>228</v>
      </c>
      <c r="B149" s="14" t="b">
        <v>0</v>
      </c>
    </row>
    <row r="150" spans="1:2" x14ac:dyDescent="0.25">
      <c r="A150" s="10" t="s">
        <v>229</v>
      </c>
      <c r="B150" s="14" t="b">
        <v>0</v>
      </c>
    </row>
    <row r="151" spans="1:2" x14ac:dyDescent="0.25">
      <c r="A151" s="10" t="s">
        <v>230</v>
      </c>
      <c r="B151" s="14" t="b">
        <v>0</v>
      </c>
    </row>
    <row r="152" spans="1:2" x14ac:dyDescent="0.25">
      <c r="A152" s="10" t="s">
        <v>231</v>
      </c>
      <c r="B152" s="14" t="b">
        <v>0</v>
      </c>
    </row>
    <row r="153" spans="1:2" x14ac:dyDescent="0.25">
      <c r="A153" s="10" t="s">
        <v>232</v>
      </c>
      <c r="B153" s="14" t="b">
        <v>0</v>
      </c>
    </row>
    <row r="154" spans="1:2" x14ac:dyDescent="0.25">
      <c r="A154" s="10" t="s">
        <v>233</v>
      </c>
      <c r="B154" s="14" t="b">
        <v>0</v>
      </c>
    </row>
    <row r="155" spans="1:2" x14ac:dyDescent="0.25">
      <c r="A155" s="10" t="s">
        <v>234</v>
      </c>
      <c r="B155" s="14" t="b">
        <v>0</v>
      </c>
    </row>
    <row r="156" spans="1:2" x14ac:dyDescent="0.25">
      <c r="A156" s="10" t="s">
        <v>235</v>
      </c>
      <c r="B156" s="14" t="b">
        <v>0</v>
      </c>
    </row>
    <row r="158" spans="1:2" x14ac:dyDescent="0.25">
      <c r="A158" s="9" t="s">
        <v>156</v>
      </c>
    </row>
    <row r="159" spans="1:2" x14ac:dyDescent="0.25">
      <c r="A159" s="10"/>
    </row>
    <row r="160" spans="1:2" x14ac:dyDescent="0.25">
      <c r="A160" s="10" t="s">
        <v>236</v>
      </c>
    </row>
    <row r="161" spans="1:2" x14ac:dyDescent="0.25">
      <c r="A161" s="10" t="s">
        <v>237</v>
      </c>
    </row>
    <row r="162" spans="1:2" x14ac:dyDescent="0.25">
      <c r="A162" s="10" t="s">
        <v>238</v>
      </c>
    </row>
    <row r="165" spans="1:2" ht="18" x14ac:dyDescent="0.25">
      <c r="A165" s="12" t="s">
        <v>247</v>
      </c>
    </row>
    <row r="167" spans="1:2" x14ac:dyDescent="0.25">
      <c r="A167" s="9" t="s">
        <v>239</v>
      </c>
    </row>
    <row r="169" spans="1:2" x14ac:dyDescent="0.25">
      <c r="A169" s="9" t="s">
        <v>148</v>
      </c>
    </row>
    <row r="170" spans="1:2" x14ac:dyDescent="0.25">
      <c r="A170" s="10"/>
    </row>
    <row r="171" spans="1:2" x14ac:dyDescent="0.25">
      <c r="A171" s="10" t="s">
        <v>240</v>
      </c>
      <c r="B171" s="14" t="b">
        <v>0</v>
      </c>
    </row>
    <row r="172" spans="1:2" x14ac:dyDescent="0.25">
      <c r="A172" s="10" t="s">
        <v>241</v>
      </c>
      <c r="B172" s="14" t="b">
        <v>0</v>
      </c>
    </row>
    <row r="173" spans="1:2" x14ac:dyDescent="0.25">
      <c r="A173" s="10" t="s">
        <v>242</v>
      </c>
      <c r="B173" s="14" t="b">
        <v>0</v>
      </c>
    </row>
    <row r="174" spans="1:2" x14ac:dyDescent="0.25">
      <c r="A174" s="10" t="s">
        <v>243</v>
      </c>
      <c r="B174" s="14" t="b">
        <v>0</v>
      </c>
    </row>
    <row r="175" spans="1:2" x14ac:dyDescent="0.25">
      <c r="A175" s="10" t="s">
        <v>244</v>
      </c>
      <c r="B175" s="14" t="b">
        <v>0</v>
      </c>
    </row>
    <row r="176" spans="1:2" x14ac:dyDescent="0.25">
      <c r="A176" s="10" t="s">
        <v>245</v>
      </c>
      <c r="B176" s="14" t="b">
        <v>0</v>
      </c>
    </row>
    <row r="177" spans="1:2" x14ac:dyDescent="0.25">
      <c r="A177" s="11" t="s">
        <v>246</v>
      </c>
      <c r="B177" s="14" t="b">
        <v>0</v>
      </c>
    </row>
    <row r="179" spans="1:2" x14ac:dyDescent="0.25">
      <c r="A179" s="9" t="s">
        <v>156</v>
      </c>
    </row>
    <row r="180" spans="1:2" x14ac:dyDescent="0.25">
      <c r="A180" s="10"/>
    </row>
    <row r="181" spans="1:2" x14ac:dyDescent="0.25">
      <c r="A181" s="10" t="s">
        <v>248</v>
      </c>
    </row>
    <row r="182" spans="1:2" x14ac:dyDescent="0.25">
      <c r="A182" s="10" t="s">
        <v>249</v>
      </c>
    </row>
    <row r="183" spans="1:2" x14ac:dyDescent="0.25">
      <c r="A183" s="10" t="s">
        <v>250</v>
      </c>
    </row>
    <row r="185" spans="1:2" ht="24" x14ac:dyDescent="0.25">
      <c r="A185" s="13" t="s">
        <v>251</v>
      </c>
    </row>
    <row r="187" spans="1:2" ht="18" x14ac:dyDescent="0.25">
      <c r="A187" s="12" t="s">
        <v>252</v>
      </c>
    </row>
    <row r="189" spans="1:2" x14ac:dyDescent="0.25">
      <c r="A189" s="9" t="s">
        <v>253</v>
      </c>
    </row>
    <row r="191" spans="1:2" x14ac:dyDescent="0.25">
      <c r="A191" s="9" t="s">
        <v>148</v>
      </c>
    </row>
    <row r="192" spans="1:2" x14ac:dyDescent="0.25">
      <c r="A192" s="10"/>
    </row>
    <row r="193" spans="1:2" x14ac:dyDescent="0.25">
      <c r="A193" s="10" t="s">
        <v>254</v>
      </c>
      <c r="B193" s="14" t="b">
        <v>0</v>
      </c>
    </row>
    <row r="194" spans="1:2" x14ac:dyDescent="0.25">
      <c r="A194" s="10" t="s">
        <v>255</v>
      </c>
      <c r="B194" s="14" t="b">
        <v>0</v>
      </c>
    </row>
    <row r="195" spans="1:2" x14ac:dyDescent="0.25">
      <c r="A195" s="10" t="s">
        <v>256</v>
      </c>
      <c r="B195" s="14" t="b">
        <v>0</v>
      </c>
    </row>
    <row r="196" spans="1:2" x14ac:dyDescent="0.25">
      <c r="A196" s="10" t="s">
        <v>257</v>
      </c>
      <c r="B196" s="14" t="b">
        <v>0</v>
      </c>
    </row>
    <row r="197" spans="1:2" x14ac:dyDescent="0.25">
      <c r="A197" s="10" t="s">
        <v>258</v>
      </c>
      <c r="B197" s="14" t="b">
        <v>0</v>
      </c>
    </row>
    <row r="198" spans="1:2" x14ac:dyDescent="0.25">
      <c r="A198" s="10" t="s">
        <v>259</v>
      </c>
      <c r="B198" s="14" t="b">
        <v>0</v>
      </c>
    </row>
    <row r="199" spans="1:2" x14ac:dyDescent="0.25">
      <c r="A199" s="10" t="s">
        <v>260</v>
      </c>
      <c r="B199" s="14" t="b">
        <v>0</v>
      </c>
    </row>
    <row r="201" spans="1:2" x14ac:dyDescent="0.25">
      <c r="A201" s="9" t="s">
        <v>156</v>
      </c>
    </row>
    <row r="202" spans="1:2" x14ac:dyDescent="0.25">
      <c r="A202" s="10"/>
    </row>
    <row r="203" spans="1:2" x14ac:dyDescent="0.25">
      <c r="A203" s="10" t="s">
        <v>261</v>
      </c>
    </row>
    <row r="204" spans="1:2" x14ac:dyDescent="0.25">
      <c r="A204" s="10" t="s">
        <v>262</v>
      </c>
    </row>
    <row r="205" spans="1:2" x14ac:dyDescent="0.25">
      <c r="A205" s="10" t="s">
        <v>263</v>
      </c>
    </row>
    <row r="207" spans="1:2" ht="18" x14ac:dyDescent="0.25">
      <c r="A207" s="12" t="s">
        <v>264</v>
      </c>
    </row>
    <row r="209" spans="1:2" x14ac:dyDescent="0.25">
      <c r="A209" s="9" t="s">
        <v>265</v>
      </c>
    </row>
    <row r="211" spans="1:2" x14ac:dyDescent="0.25">
      <c r="A211" s="9" t="s">
        <v>148</v>
      </c>
    </row>
    <row r="212" spans="1:2" x14ac:dyDescent="0.25">
      <c r="A212" s="10"/>
    </row>
    <row r="213" spans="1:2" x14ac:dyDescent="0.25">
      <c r="A213" s="10" t="s">
        <v>266</v>
      </c>
      <c r="B213" s="14" t="b">
        <v>0</v>
      </c>
    </row>
    <row r="214" spans="1:2" x14ac:dyDescent="0.25">
      <c r="A214" s="10" t="s">
        <v>267</v>
      </c>
      <c r="B214" s="14" t="b">
        <v>0</v>
      </c>
    </row>
    <row r="215" spans="1:2" x14ac:dyDescent="0.25">
      <c r="A215" s="10" t="s">
        <v>268</v>
      </c>
      <c r="B215" s="14" t="b">
        <v>0</v>
      </c>
    </row>
    <row r="216" spans="1:2" x14ac:dyDescent="0.25">
      <c r="A216" s="15" t="s">
        <v>269</v>
      </c>
      <c r="B216" s="14" t="b">
        <v>0</v>
      </c>
    </row>
    <row r="217" spans="1:2" x14ac:dyDescent="0.25">
      <c r="A217" s="15" t="s">
        <v>270</v>
      </c>
      <c r="B217" s="14" t="b">
        <v>0</v>
      </c>
    </row>
    <row r="218" spans="1:2" x14ac:dyDescent="0.25">
      <c r="A218" s="15" t="s">
        <v>271</v>
      </c>
      <c r="B218" s="14" t="b">
        <v>0</v>
      </c>
    </row>
    <row r="219" spans="1:2" x14ac:dyDescent="0.25">
      <c r="A219" s="10" t="s">
        <v>272</v>
      </c>
      <c r="B219" s="14" t="b">
        <v>0</v>
      </c>
    </row>
    <row r="220" spans="1:2" x14ac:dyDescent="0.25">
      <c r="A220" s="10" t="s">
        <v>273</v>
      </c>
      <c r="B220" s="14" t="b">
        <v>0</v>
      </c>
    </row>
    <row r="221" spans="1:2" x14ac:dyDescent="0.25">
      <c r="A221" s="10" t="s">
        <v>274</v>
      </c>
      <c r="B221" s="14" t="b">
        <v>0</v>
      </c>
    </row>
    <row r="222" spans="1:2" x14ac:dyDescent="0.25">
      <c r="A222" s="10" t="s">
        <v>275</v>
      </c>
      <c r="B222" s="14" t="b">
        <v>0</v>
      </c>
    </row>
    <row r="224" spans="1:2" x14ac:dyDescent="0.25">
      <c r="A224" s="9" t="s">
        <v>156</v>
      </c>
    </row>
    <row r="225" spans="1:2" x14ac:dyDescent="0.25">
      <c r="A225" s="10"/>
    </row>
    <row r="226" spans="1:2" x14ac:dyDescent="0.25">
      <c r="A226" s="10" t="s">
        <v>276</v>
      </c>
    </row>
    <row r="227" spans="1:2" x14ac:dyDescent="0.25">
      <c r="A227" s="10" t="s">
        <v>277</v>
      </c>
    </row>
    <row r="228" spans="1:2" x14ac:dyDescent="0.25">
      <c r="A228" s="10" t="s">
        <v>278</v>
      </c>
    </row>
    <row r="230" spans="1:2" ht="18" x14ac:dyDescent="0.25">
      <c r="A230" s="12" t="s">
        <v>279</v>
      </c>
    </row>
    <row r="232" spans="1:2" x14ac:dyDescent="0.25">
      <c r="A232" s="9" t="s">
        <v>280</v>
      </c>
    </row>
    <row r="234" spans="1:2" x14ac:dyDescent="0.25">
      <c r="A234" s="9" t="s">
        <v>148</v>
      </c>
    </row>
    <row r="235" spans="1:2" x14ac:dyDescent="0.25">
      <c r="A235" s="10"/>
    </row>
    <row r="236" spans="1:2" x14ac:dyDescent="0.25">
      <c r="A236" s="10" t="s">
        <v>281</v>
      </c>
      <c r="B236" s="14" t="b">
        <v>0</v>
      </c>
    </row>
    <row r="237" spans="1:2" x14ac:dyDescent="0.25">
      <c r="A237" s="10" t="s">
        <v>282</v>
      </c>
      <c r="B237" s="14" t="b">
        <v>0</v>
      </c>
    </row>
    <row r="238" spans="1:2" x14ac:dyDescent="0.25">
      <c r="A238" s="10" t="s">
        <v>283</v>
      </c>
      <c r="B238" s="14" t="b">
        <v>0</v>
      </c>
    </row>
    <row r="239" spans="1:2" x14ac:dyDescent="0.25">
      <c r="A239" s="10" t="s">
        <v>284</v>
      </c>
      <c r="B239" s="14" t="b">
        <v>0</v>
      </c>
    </row>
    <row r="240" spans="1:2" x14ac:dyDescent="0.25">
      <c r="A240" s="15" t="s">
        <v>285</v>
      </c>
      <c r="B240" s="14" t="b">
        <v>0</v>
      </c>
    </row>
    <row r="241" spans="1:2" x14ac:dyDescent="0.25">
      <c r="A241" s="15" t="s">
        <v>286</v>
      </c>
      <c r="B241" s="14" t="b">
        <v>0</v>
      </c>
    </row>
    <row r="242" spans="1:2" x14ac:dyDescent="0.25">
      <c r="A242" s="15" t="s">
        <v>287</v>
      </c>
      <c r="B242" s="14" t="b">
        <v>0</v>
      </c>
    </row>
    <row r="243" spans="1:2" x14ac:dyDescent="0.25">
      <c r="A243" s="15" t="s">
        <v>288</v>
      </c>
      <c r="B243" s="14" t="b">
        <v>0</v>
      </c>
    </row>
    <row r="244" spans="1:2" x14ac:dyDescent="0.25">
      <c r="A244" s="10" t="s">
        <v>289</v>
      </c>
      <c r="B244" s="14" t="b">
        <v>0</v>
      </c>
    </row>
    <row r="245" spans="1:2" x14ac:dyDescent="0.25">
      <c r="A245" s="10" t="s">
        <v>290</v>
      </c>
      <c r="B245" s="14" t="b">
        <v>0</v>
      </c>
    </row>
    <row r="247" spans="1:2" x14ac:dyDescent="0.25">
      <c r="A247" s="9" t="s">
        <v>156</v>
      </c>
    </row>
    <row r="248" spans="1:2" x14ac:dyDescent="0.25">
      <c r="A248" s="10"/>
    </row>
    <row r="249" spans="1:2" x14ac:dyDescent="0.25">
      <c r="A249" s="10" t="s">
        <v>291</v>
      </c>
    </row>
    <row r="250" spans="1:2" x14ac:dyDescent="0.25">
      <c r="A250" s="10" t="s">
        <v>292</v>
      </c>
    </row>
    <row r="251" spans="1:2" x14ac:dyDescent="0.25">
      <c r="A251" s="10" t="s">
        <v>293</v>
      </c>
    </row>
    <row r="253" spans="1:2" x14ac:dyDescent="0.25">
      <c r="A253" s="9" t="s">
        <v>294</v>
      </c>
    </row>
    <row r="255" spans="1:2" ht="18" x14ac:dyDescent="0.25">
      <c r="A255" s="12" t="s">
        <v>295</v>
      </c>
    </row>
    <row r="257" spans="1:2" x14ac:dyDescent="0.25">
      <c r="A257" s="9" t="s">
        <v>296</v>
      </c>
    </row>
    <row r="259" spans="1:2" x14ac:dyDescent="0.25">
      <c r="A259" s="9" t="s">
        <v>148</v>
      </c>
    </row>
    <row r="260" spans="1:2" x14ac:dyDescent="0.25">
      <c r="A260" s="10"/>
    </row>
    <row r="261" spans="1:2" x14ac:dyDescent="0.25">
      <c r="A261" s="10" t="s">
        <v>297</v>
      </c>
      <c r="B261" s="14" t="b">
        <v>0</v>
      </c>
    </row>
    <row r="262" spans="1:2" x14ac:dyDescent="0.25">
      <c r="A262" s="10" t="s">
        <v>298</v>
      </c>
      <c r="B262" s="14" t="b">
        <v>0</v>
      </c>
    </row>
    <row r="263" spans="1:2" x14ac:dyDescent="0.25">
      <c r="A263" s="10" t="s">
        <v>299</v>
      </c>
      <c r="B263" s="14" t="b">
        <v>0</v>
      </c>
    </row>
    <row r="264" spans="1:2" x14ac:dyDescent="0.25">
      <c r="A264" s="15" t="s">
        <v>300</v>
      </c>
      <c r="B264" s="14" t="b">
        <v>0</v>
      </c>
    </row>
    <row r="265" spans="1:2" x14ac:dyDescent="0.25">
      <c r="A265" s="15" t="s">
        <v>301</v>
      </c>
      <c r="B265" s="14" t="b">
        <v>0</v>
      </c>
    </row>
    <row r="266" spans="1:2" x14ac:dyDescent="0.25">
      <c r="A266" s="15" t="s">
        <v>302</v>
      </c>
      <c r="B266" s="14" t="b">
        <v>0</v>
      </c>
    </row>
    <row r="267" spans="1:2" x14ac:dyDescent="0.25">
      <c r="A267" s="10" t="s">
        <v>303</v>
      </c>
      <c r="B267" s="14" t="b">
        <v>0</v>
      </c>
    </row>
    <row r="268" spans="1:2" x14ac:dyDescent="0.25">
      <c r="A268" s="10" t="s">
        <v>304</v>
      </c>
      <c r="B268" s="14" t="b">
        <v>0</v>
      </c>
    </row>
    <row r="269" spans="1:2" x14ac:dyDescent="0.25">
      <c r="A269" s="10" t="s">
        <v>305</v>
      </c>
      <c r="B269" s="14" t="b">
        <v>0</v>
      </c>
    </row>
    <row r="270" spans="1:2" x14ac:dyDescent="0.25">
      <c r="A270" s="11" t="s">
        <v>306</v>
      </c>
      <c r="B270" s="14" t="b">
        <v>0</v>
      </c>
    </row>
    <row r="272" spans="1:2" x14ac:dyDescent="0.25">
      <c r="A272" s="9" t="s">
        <v>156</v>
      </c>
    </row>
    <row r="273" spans="1:2" x14ac:dyDescent="0.25">
      <c r="A273" s="10"/>
    </row>
    <row r="274" spans="1:2" x14ac:dyDescent="0.25">
      <c r="A274" s="10" t="s">
        <v>307</v>
      </c>
    </row>
    <row r="275" spans="1:2" x14ac:dyDescent="0.25">
      <c r="A275" s="10" t="s">
        <v>308</v>
      </c>
    </row>
    <row r="276" spans="1:2" x14ac:dyDescent="0.25">
      <c r="A276" s="10" t="s">
        <v>309</v>
      </c>
    </row>
    <row r="278" spans="1:2" ht="24" x14ac:dyDescent="0.25">
      <c r="A278" s="13" t="s">
        <v>310</v>
      </c>
    </row>
    <row r="280" spans="1:2" ht="18" x14ac:dyDescent="0.25">
      <c r="A280" s="12" t="s">
        <v>311</v>
      </c>
    </row>
    <row r="282" spans="1:2" x14ac:dyDescent="0.25">
      <c r="A282" s="9" t="s">
        <v>312</v>
      </c>
    </row>
    <row r="284" spans="1:2" x14ac:dyDescent="0.25">
      <c r="A284" s="9" t="s">
        <v>148</v>
      </c>
    </row>
    <row r="285" spans="1:2" x14ac:dyDescent="0.25">
      <c r="A285" s="10"/>
    </row>
    <row r="286" spans="1:2" x14ac:dyDescent="0.25">
      <c r="A286" s="10" t="s">
        <v>313</v>
      </c>
      <c r="B286" s="14" t="b">
        <v>0</v>
      </c>
    </row>
    <row r="287" spans="1:2" x14ac:dyDescent="0.25">
      <c r="A287" s="10" t="s">
        <v>314</v>
      </c>
      <c r="B287" s="14" t="b">
        <v>0</v>
      </c>
    </row>
    <row r="288" spans="1:2" x14ac:dyDescent="0.25">
      <c r="A288" s="10" t="s">
        <v>315</v>
      </c>
      <c r="B288" s="14" t="b">
        <v>0</v>
      </c>
    </row>
    <row r="289" spans="1:2" x14ac:dyDescent="0.25">
      <c r="A289" s="10" t="s">
        <v>316</v>
      </c>
      <c r="B289" s="14" t="b">
        <v>0</v>
      </c>
    </row>
    <row r="290" spans="1:2" x14ac:dyDescent="0.25">
      <c r="A290" s="10" t="s">
        <v>317</v>
      </c>
      <c r="B290" s="14" t="b">
        <v>0</v>
      </c>
    </row>
    <row r="291" spans="1:2" x14ac:dyDescent="0.25">
      <c r="A291" s="10" t="s">
        <v>318</v>
      </c>
      <c r="B291" s="14" t="b">
        <v>0</v>
      </c>
    </row>
    <row r="292" spans="1:2" x14ac:dyDescent="0.25">
      <c r="A292" s="10" t="s">
        <v>319</v>
      </c>
      <c r="B292" s="14" t="b">
        <v>0</v>
      </c>
    </row>
    <row r="294" spans="1:2" x14ac:dyDescent="0.25">
      <c r="A294" s="9" t="s">
        <v>156</v>
      </c>
    </row>
    <row r="295" spans="1:2" x14ac:dyDescent="0.25">
      <c r="A295" s="10"/>
    </row>
    <row r="296" spans="1:2" x14ac:dyDescent="0.25">
      <c r="A296" s="10" t="s">
        <v>320</v>
      </c>
    </row>
    <row r="297" spans="1:2" x14ac:dyDescent="0.25">
      <c r="A297" s="10" t="s">
        <v>321</v>
      </c>
    </row>
    <row r="298" spans="1:2" x14ac:dyDescent="0.25">
      <c r="A298" s="10" t="s">
        <v>322</v>
      </c>
    </row>
    <row r="300" spans="1:2" ht="18" x14ac:dyDescent="0.25">
      <c r="A300" s="12" t="s">
        <v>323</v>
      </c>
    </row>
    <row r="302" spans="1:2" x14ac:dyDescent="0.25">
      <c r="A302" s="9" t="s">
        <v>324</v>
      </c>
    </row>
    <row r="304" spans="1:2" x14ac:dyDescent="0.25">
      <c r="A304" s="9" t="s">
        <v>148</v>
      </c>
    </row>
    <row r="305" spans="1:2" x14ac:dyDescent="0.25">
      <c r="A305" s="10"/>
    </row>
    <row r="306" spans="1:2" x14ac:dyDescent="0.25">
      <c r="A306" s="10" t="s">
        <v>325</v>
      </c>
      <c r="B306" s="14" t="b">
        <v>0</v>
      </c>
    </row>
    <row r="307" spans="1:2" x14ac:dyDescent="0.25">
      <c r="A307" s="10" t="s">
        <v>326</v>
      </c>
      <c r="B307" s="14" t="b">
        <v>0</v>
      </c>
    </row>
    <row r="308" spans="1:2" x14ac:dyDescent="0.25">
      <c r="A308" s="15" t="s">
        <v>327</v>
      </c>
      <c r="B308" s="14" t="b">
        <v>0</v>
      </c>
    </row>
    <row r="309" spans="1:2" x14ac:dyDescent="0.25">
      <c r="A309" s="15" t="s">
        <v>328</v>
      </c>
      <c r="B309" s="14" t="b">
        <v>0</v>
      </c>
    </row>
    <row r="310" spans="1:2" x14ac:dyDescent="0.25">
      <c r="A310" s="15" t="s">
        <v>329</v>
      </c>
      <c r="B310" s="14" t="b">
        <v>0</v>
      </c>
    </row>
    <row r="311" spans="1:2" x14ac:dyDescent="0.25">
      <c r="A311" s="10" t="s">
        <v>330</v>
      </c>
      <c r="B311" s="14" t="b">
        <v>0</v>
      </c>
    </row>
    <row r="312" spans="1:2" x14ac:dyDescent="0.25">
      <c r="A312" s="10" t="s">
        <v>331</v>
      </c>
      <c r="B312" s="14" t="b">
        <v>0</v>
      </c>
    </row>
    <row r="313" spans="1:2" x14ac:dyDescent="0.25">
      <c r="A313" s="10" t="s">
        <v>332</v>
      </c>
      <c r="B313" s="14" t="b">
        <v>0</v>
      </c>
    </row>
    <row r="314" spans="1:2" x14ac:dyDescent="0.25">
      <c r="A314" s="10" t="s">
        <v>333</v>
      </c>
      <c r="B314" s="14" t="b">
        <v>0</v>
      </c>
    </row>
    <row r="315" spans="1:2" x14ac:dyDescent="0.25">
      <c r="A315" s="10" t="s">
        <v>334</v>
      </c>
      <c r="B315" s="14" t="b">
        <v>0</v>
      </c>
    </row>
    <row r="317" spans="1:2" x14ac:dyDescent="0.25">
      <c r="A317" s="9" t="s">
        <v>156</v>
      </c>
    </row>
    <row r="318" spans="1:2" x14ac:dyDescent="0.25">
      <c r="A318" s="10"/>
    </row>
    <row r="319" spans="1:2" x14ac:dyDescent="0.25">
      <c r="A319" s="10" t="s">
        <v>335</v>
      </c>
    </row>
    <row r="320" spans="1:2" x14ac:dyDescent="0.25">
      <c r="A320" s="10" t="s">
        <v>336</v>
      </c>
    </row>
    <row r="321" spans="1:2" x14ac:dyDescent="0.25">
      <c r="A321" s="10" t="s">
        <v>337</v>
      </c>
    </row>
    <row r="323" spans="1:2" ht="18" x14ac:dyDescent="0.25">
      <c r="A323" s="12" t="s">
        <v>338</v>
      </c>
    </row>
    <row r="325" spans="1:2" x14ac:dyDescent="0.25">
      <c r="A325" s="9" t="s">
        <v>339</v>
      </c>
    </row>
    <row r="327" spans="1:2" x14ac:dyDescent="0.25">
      <c r="A327" s="9" t="s">
        <v>148</v>
      </c>
    </row>
    <row r="328" spans="1:2" x14ac:dyDescent="0.25">
      <c r="A328" s="10"/>
    </row>
    <row r="329" spans="1:2" x14ac:dyDescent="0.25">
      <c r="A329" s="10" t="s">
        <v>340</v>
      </c>
      <c r="B329" s="14" t="b">
        <v>0</v>
      </c>
    </row>
    <row r="330" spans="1:2" x14ac:dyDescent="0.25">
      <c r="A330" s="10" t="s">
        <v>341</v>
      </c>
      <c r="B330" s="14" t="b">
        <v>0</v>
      </c>
    </row>
    <row r="331" spans="1:2" x14ac:dyDescent="0.25">
      <c r="A331" s="10" t="s">
        <v>342</v>
      </c>
      <c r="B331" s="14" t="b">
        <v>0</v>
      </c>
    </row>
    <row r="332" spans="1:2" x14ac:dyDescent="0.25">
      <c r="A332" s="10" t="s">
        <v>343</v>
      </c>
      <c r="B332" s="14" t="b">
        <v>0</v>
      </c>
    </row>
    <row r="333" spans="1:2" x14ac:dyDescent="0.25">
      <c r="A333" s="10" t="s">
        <v>344</v>
      </c>
      <c r="B333" s="14" t="b">
        <v>0</v>
      </c>
    </row>
    <row r="334" spans="1:2" x14ac:dyDescent="0.25">
      <c r="A334" s="10" t="s">
        <v>345</v>
      </c>
      <c r="B334" s="14" t="b">
        <v>0</v>
      </c>
    </row>
    <row r="335" spans="1:2" x14ac:dyDescent="0.25">
      <c r="A335" s="10" t="s">
        <v>346</v>
      </c>
      <c r="B335" s="14" t="b">
        <v>0</v>
      </c>
    </row>
    <row r="337" spans="1:2" x14ac:dyDescent="0.25">
      <c r="A337" s="9" t="s">
        <v>156</v>
      </c>
    </row>
    <row r="338" spans="1:2" x14ac:dyDescent="0.25">
      <c r="A338" s="10"/>
    </row>
    <row r="339" spans="1:2" x14ac:dyDescent="0.25">
      <c r="A339" s="10" t="s">
        <v>347</v>
      </c>
    </row>
    <row r="340" spans="1:2" x14ac:dyDescent="0.25">
      <c r="A340" s="10" t="s">
        <v>348</v>
      </c>
    </row>
    <row r="341" spans="1:2" x14ac:dyDescent="0.25">
      <c r="A341" s="10" t="s">
        <v>349</v>
      </c>
    </row>
    <row r="343" spans="1:2" ht="18" x14ac:dyDescent="0.25">
      <c r="A343" s="12" t="s">
        <v>350</v>
      </c>
    </row>
    <row r="345" spans="1:2" x14ac:dyDescent="0.25">
      <c r="A345" s="9" t="s">
        <v>351</v>
      </c>
    </row>
    <row r="347" spans="1:2" x14ac:dyDescent="0.25">
      <c r="A347" s="9" t="s">
        <v>148</v>
      </c>
    </row>
    <row r="348" spans="1:2" x14ac:dyDescent="0.25">
      <c r="A348" s="10"/>
    </row>
    <row r="349" spans="1:2" x14ac:dyDescent="0.25">
      <c r="A349" s="10" t="s">
        <v>352</v>
      </c>
      <c r="B349" s="14" t="b">
        <v>0</v>
      </c>
    </row>
    <row r="350" spans="1:2" x14ac:dyDescent="0.25">
      <c r="A350" s="10" t="s">
        <v>353</v>
      </c>
      <c r="B350" s="14" t="b">
        <v>0</v>
      </c>
    </row>
    <row r="351" spans="1:2" x14ac:dyDescent="0.25">
      <c r="A351" s="10" t="s">
        <v>354</v>
      </c>
      <c r="B351" s="14" t="b">
        <v>0</v>
      </c>
    </row>
    <row r="352" spans="1:2" x14ac:dyDescent="0.25">
      <c r="A352" s="10" t="s">
        <v>355</v>
      </c>
      <c r="B352" s="14" t="b">
        <v>0</v>
      </c>
    </row>
    <row r="353" spans="1:2" x14ac:dyDescent="0.25">
      <c r="A353" s="10" t="s">
        <v>356</v>
      </c>
      <c r="B353" s="14" t="b">
        <v>0</v>
      </c>
    </row>
    <row r="354" spans="1:2" x14ac:dyDescent="0.25">
      <c r="A354" s="10" t="s">
        <v>357</v>
      </c>
      <c r="B354" s="14" t="b">
        <v>0</v>
      </c>
    </row>
    <row r="355" spans="1:2" x14ac:dyDescent="0.25">
      <c r="A355" s="10" t="s">
        <v>358</v>
      </c>
      <c r="B355" s="14" t="b">
        <v>0</v>
      </c>
    </row>
    <row r="356" spans="1:2" x14ac:dyDescent="0.25">
      <c r="A356" s="11" t="s">
        <v>359</v>
      </c>
      <c r="B356" s="14" t="b">
        <v>0</v>
      </c>
    </row>
    <row r="358" spans="1:2" x14ac:dyDescent="0.25">
      <c r="A358" s="9" t="s">
        <v>156</v>
      </c>
    </row>
    <row r="359" spans="1:2" x14ac:dyDescent="0.25">
      <c r="A359" s="10"/>
    </row>
    <row r="360" spans="1:2" x14ac:dyDescent="0.25">
      <c r="A360" s="10" t="s">
        <v>360</v>
      </c>
    </row>
    <row r="361" spans="1:2" x14ac:dyDescent="0.25">
      <c r="A361" s="10" t="s">
        <v>361</v>
      </c>
    </row>
    <row r="362" spans="1:2" x14ac:dyDescent="0.25">
      <c r="A362" s="10" t="s">
        <v>362</v>
      </c>
    </row>
  </sheetData>
  <mergeCells count="1">
    <mergeCell ref="E2:G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Components</vt:lpstr>
      <vt:lpstr>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Gideon Bergbaum</dc:creator>
  <cp:lastModifiedBy>Gideon Bergbaum</cp:lastModifiedBy>
  <dcterms:created xsi:type="dcterms:W3CDTF">2026-01-02T15:15:20Z</dcterms:created>
  <dcterms:modified xsi:type="dcterms:W3CDTF">2026-01-02T16:13:52Z</dcterms:modified>
</cp:coreProperties>
</file>